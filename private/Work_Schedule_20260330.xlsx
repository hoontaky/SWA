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9EBF0FFA-B612-49CD-9FEF-F847FADCD8D2}" xr6:coauthVersionLast="36" xr6:coauthVersionMax="36" xr10:uidLastSave="{00000000-0000-0000-0000-000000000000}"/>
  <bookViews>
    <workbookView xWindow="0" yWindow="0" windowWidth="28800" windowHeight="12180" xr2:uid="{08BFA685-E234-4399-ADB2-893D3CF55860}"/>
  </bookViews>
  <sheets>
    <sheet name="Working_List" sheetId="1" r:id="rId1"/>
    <sheet name="일정" sheetId="2" r:id="rId2"/>
    <sheet name="구성" sheetId="3" r:id="rId3"/>
  </sheets>
  <definedNames>
    <definedName name="_xlnm._FilterDatabase" localSheetId="0" hidden="1">Working_List!$B$1:$J$65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2" i="1"/>
  <c r="K65" i="1" l="1"/>
  <c r="K1" i="1" s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B33" i="1"/>
  <c r="B32" i="1"/>
  <c r="B31" i="1"/>
  <c r="B30" i="1"/>
  <c r="B29" i="1"/>
  <c r="B28" i="1"/>
  <c r="B27" i="1"/>
  <c r="B26" i="1"/>
  <c r="B23" i="1"/>
  <c r="B25" i="1"/>
  <c r="B24" i="1"/>
  <c r="B22" i="1"/>
  <c r="B21" i="1"/>
  <c r="B20" i="1"/>
  <c r="B19" i="1"/>
  <c r="B18" i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B17" i="1"/>
  <c r="D17" i="1"/>
  <c r="E17" i="1" s="1"/>
  <c r="D3" i="1"/>
  <c r="E3" i="1" s="1"/>
  <c r="D4" i="1"/>
  <c r="E4" i="1" s="1"/>
  <c r="D5" i="1"/>
  <c r="E5" i="1" s="1"/>
  <c r="D6" i="1"/>
  <c r="D7" i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D65" i="1"/>
  <c r="E65" i="1" s="1"/>
  <c r="E6" i="1"/>
  <c r="E7" i="1"/>
  <c r="D2" i="1"/>
  <c r="E2" i="1" s="1"/>
</calcChain>
</file>

<file path=xl/sharedStrings.xml><?xml version="1.0" encoding="utf-8"?>
<sst xmlns="http://schemas.openxmlformats.org/spreadsheetml/2006/main" count="226" uniqueCount="77">
  <si>
    <t>D-Day</t>
    <phoneticPr fontId="1" type="noConversion"/>
  </si>
  <si>
    <t>Date</t>
    <phoneticPr fontId="1" type="noConversion"/>
  </si>
  <si>
    <t>Day(Function)</t>
    <phoneticPr fontId="1" type="noConversion"/>
  </si>
  <si>
    <t>Day</t>
    <phoneticPr fontId="1" type="noConversion"/>
  </si>
  <si>
    <t>ToDo</t>
    <phoneticPr fontId="1" type="noConversion"/>
  </si>
  <si>
    <t>Doing</t>
    <phoneticPr fontId="1" type="noConversion"/>
  </si>
  <si>
    <t>Done</t>
    <phoneticPr fontId="1" type="noConversion"/>
  </si>
  <si>
    <t>Meeting</t>
    <phoneticPr fontId="1" type="noConversion"/>
  </si>
  <si>
    <t>ETC</t>
    <phoneticPr fontId="1" type="noConversion"/>
  </si>
  <si>
    <t>ㅇRFP 분석</t>
    <phoneticPr fontId="1" type="noConversion"/>
  </si>
  <si>
    <t>ㅇ프로젝트 투입</t>
    <phoneticPr fontId="1" type="noConversion"/>
  </si>
  <si>
    <t>ㅇ프로젝트 철수</t>
    <phoneticPr fontId="1" type="noConversion"/>
  </si>
  <si>
    <t>ㅇ휴가</t>
    <phoneticPr fontId="1" type="noConversion"/>
  </si>
  <si>
    <t>ㅇ요구사항 정의서 작성</t>
    <phoneticPr fontId="1" type="noConversion"/>
  </si>
  <si>
    <t>ㅇ내부 월간 보고
 - 10:00, 대회의실</t>
    <phoneticPr fontId="1" type="noConversion"/>
  </si>
  <si>
    <t>ㅇTF 월간 보고
 - 10:00, 대회의실</t>
    <phoneticPr fontId="1" type="noConversion"/>
  </si>
  <si>
    <t>ㅇ분석 단계 감리(~05/01)</t>
    <phoneticPr fontId="1" type="noConversion"/>
  </si>
  <si>
    <t>ㅇ개발망 연결 예정일
ㅇ휴일(창립기념일 대체 공휴일)</t>
    <phoneticPr fontId="1" type="noConversion"/>
  </si>
  <si>
    <t>분석 및 설계</t>
    <phoneticPr fontId="1" type="noConversion"/>
  </si>
  <si>
    <t>03.03 ~ 05.01</t>
    <phoneticPr fontId="1" type="noConversion"/>
  </si>
  <si>
    <t>구성 및 통합</t>
    <phoneticPr fontId="1" type="noConversion"/>
  </si>
  <si>
    <t>05.04 ~ 07.31</t>
    <phoneticPr fontId="1" type="noConversion"/>
  </si>
  <si>
    <t>인프라 테스트</t>
    <phoneticPr fontId="1" type="noConversion"/>
  </si>
  <si>
    <t>07.01 ~ 08.15</t>
    <phoneticPr fontId="1" type="noConversion"/>
  </si>
  <si>
    <t>통합 테스트</t>
    <phoneticPr fontId="1" type="noConversion"/>
  </si>
  <si>
    <t>08.16 ~ 09.15</t>
    <phoneticPr fontId="1" type="noConversion"/>
  </si>
  <si>
    <t>오픈</t>
    <phoneticPr fontId="1" type="noConversion"/>
  </si>
  <si>
    <t>안정화</t>
    <phoneticPr fontId="1" type="noConversion"/>
  </si>
  <si>
    <t>09.29 ~ 01.31</t>
    <phoneticPr fontId="1" type="noConversion"/>
  </si>
  <si>
    <t>ㅇ최훈탁C 휴가(종일)</t>
    <phoneticPr fontId="1" type="noConversion"/>
  </si>
  <si>
    <t>ㅇ휴일</t>
    <phoneticPr fontId="1" type="noConversion"/>
  </si>
  <si>
    <t>ㅇ아키텍처 설계서 작성</t>
    <phoneticPr fontId="1" type="noConversion"/>
  </si>
  <si>
    <t>ㅇ분석/설계 종료</t>
    <phoneticPr fontId="1" type="noConversion"/>
  </si>
  <si>
    <t>ㅇ구성 및 통합 시작</t>
    <phoneticPr fontId="1" type="noConversion"/>
  </si>
  <si>
    <t>ㅇ아키텍처 정의서 작성
ㅇ개발환경 구성
 - S/W 설치
 : Git/Nexus/Jenkins</t>
    <phoneticPr fontId="1" type="noConversion"/>
  </si>
  <si>
    <t>-</t>
    <phoneticPr fontId="1" type="noConversion"/>
  </si>
  <si>
    <t>ㅇ업무 논의(진용하C)
 - 기존 레파지토리 분리 방안
 : 기존 소스 수정 시, 추후 merge 방안 논의
 : 검찰 제외 네트워크 구성 질의
 (여기서 KICS Nexus 접근해서 공수처 진행?)
 - S/W 설치 방안
 : 외부 파일 반입 논의</t>
    <phoneticPr fontId="1" type="noConversion"/>
  </si>
  <si>
    <t>Git</t>
    <phoneticPr fontId="1" type="noConversion"/>
  </si>
  <si>
    <t>Jenkins</t>
    <phoneticPr fontId="1" type="noConversion"/>
  </si>
  <si>
    <t>경찰 포털 Repo</t>
    <phoneticPr fontId="1" type="noConversion"/>
  </si>
  <si>
    <t>해경 포털 Repo</t>
    <phoneticPr fontId="1" type="noConversion"/>
  </si>
  <si>
    <t>검찰 포털 Repo</t>
    <phoneticPr fontId="1" type="noConversion"/>
  </si>
  <si>
    <t>법무 포털 Repo</t>
    <phoneticPr fontId="1" type="noConversion"/>
  </si>
  <si>
    <t>운영단 포털 Repo</t>
    <phoneticPr fontId="1" type="noConversion"/>
  </si>
  <si>
    <t>공수처 포털 Repo</t>
    <phoneticPr fontId="1" type="noConversion"/>
  </si>
  <si>
    <t>경찰 Pipeline</t>
    <phoneticPr fontId="1" type="noConversion"/>
  </si>
  <si>
    <t>해경 Pipeline</t>
    <phoneticPr fontId="1" type="noConversion"/>
  </si>
  <si>
    <t>검찰 Pipeline</t>
    <phoneticPr fontId="1" type="noConversion"/>
  </si>
  <si>
    <t>법무 Pipeline</t>
    <phoneticPr fontId="1" type="noConversion"/>
  </si>
  <si>
    <t>운영단 Pipeline</t>
    <phoneticPr fontId="1" type="noConversion"/>
  </si>
  <si>
    <t>경찰 Library</t>
    <phoneticPr fontId="1" type="noConversion"/>
  </si>
  <si>
    <t>해경 Library</t>
    <phoneticPr fontId="1" type="noConversion"/>
  </si>
  <si>
    <t>검찰 Library</t>
    <phoneticPr fontId="1" type="noConversion"/>
  </si>
  <si>
    <t>법무 Library</t>
    <phoneticPr fontId="1" type="noConversion"/>
  </si>
  <si>
    <t>운영단 Library</t>
    <phoneticPr fontId="1" type="noConversion"/>
  </si>
  <si>
    <t>공수처 Pipeline</t>
    <phoneticPr fontId="1" type="noConversion"/>
  </si>
  <si>
    <t>공수처 Library</t>
    <phoneticPr fontId="1" type="noConversion"/>
  </si>
  <si>
    <t>Nexus</t>
    <phoneticPr fontId="1" type="noConversion"/>
  </si>
  <si>
    <t>PC</t>
    <phoneticPr fontId="1" type="noConversion"/>
  </si>
  <si>
    <t>Git VM</t>
    <phoneticPr fontId="1" type="noConversion"/>
  </si>
  <si>
    <t>Jenkins VM</t>
    <phoneticPr fontId="1" type="noConversion"/>
  </si>
  <si>
    <t>Nexus VM</t>
    <phoneticPr fontId="1" type="noConversion"/>
  </si>
  <si>
    <t>경찰 포털 VM</t>
    <phoneticPr fontId="1" type="noConversion"/>
  </si>
  <si>
    <t>해경 포털 VM</t>
    <phoneticPr fontId="1" type="noConversion"/>
  </si>
  <si>
    <t>검찰 포털 VM</t>
    <phoneticPr fontId="1" type="noConversion"/>
  </si>
  <si>
    <t>법무 포털 VM</t>
    <phoneticPr fontId="1" type="noConversion"/>
  </si>
  <si>
    <t>운영단 포털 VM</t>
    <phoneticPr fontId="1" type="noConversion"/>
  </si>
  <si>
    <t>공수처 포털 VM</t>
    <phoneticPr fontId="1" type="noConversion"/>
  </si>
  <si>
    <t>경찰 CI/CD 서버</t>
    <phoneticPr fontId="1" type="noConversion"/>
  </si>
  <si>
    <t>해경 CI/CD 서버</t>
    <phoneticPr fontId="1" type="noConversion"/>
  </si>
  <si>
    <t>검찰 CI/CD 서버</t>
    <phoneticPr fontId="1" type="noConversion"/>
  </si>
  <si>
    <t>법무 CI/CD 서버</t>
    <phoneticPr fontId="1" type="noConversion"/>
  </si>
  <si>
    <t>운영단 CI/CD 서버</t>
    <phoneticPr fontId="1" type="noConversion"/>
  </si>
  <si>
    <t>공수처 CI/CD 서버</t>
    <phoneticPr fontId="1" type="noConversion"/>
  </si>
  <si>
    <t>ㅇWBS 작성 완료</t>
    <phoneticPr fontId="1" type="noConversion"/>
  </si>
  <si>
    <t>ㅇ휴가
ㅇvitualbox로 cicd 구성</t>
    <phoneticPr fontId="1" type="noConversion"/>
  </si>
  <si>
    <t>ㅇWBS 작성 마감일
ㅇ최훈탁C 휴가(건강검진)
ㅇ개발서버 도입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</si>
</sst>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0" fillId="0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표준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209550</xdr:rowOff>
    </xdr:from>
    <xdr:to>
      <xdr:col>10</xdr:col>
      <xdr:colOff>0</xdr:colOff>
      <xdr:row>10</xdr:row>
      <xdr:rowOff>209550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E1EF4DE6-27FD-477A-A0F6-B5E97C024722}"/>
            </a:ext>
          </a:extLst>
        </xdr:cNvPr>
        <xdr:cNvSpPr/>
      </xdr:nvSpPr>
      <xdr:spPr>
        <a:xfrm>
          <a:off x="5372100" y="2181225"/>
          <a:ext cx="2743200" cy="2190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676275</xdr:colOff>
      <xdr:row>2</xdr:row>
      <xdr:rowOff>66675</xdr:rowOff>
    </xdr:from>
    <xdr:to>
      <xdr:col>10</xdr:col>
      <xdr:colOff>657225</xdr:colOff>
      <xdr:row>10</xdr:row>
      <xdr:rowOff>209550</xdr:rowOff>
    </xdr:to>
    <xdr:sp macro="" textlink="">
      <xdr:nvSpPr>
        <xdr:cNvPr id="4" name="화살표: 굽음 3">
          <a:extLst>
            <a:ext uri="{FF2B5EF4-FFF2-40B4-BE49-F238E27FC236}">
              <a16:creationId xmlns:a16="http://schemas.microsoft.com/office/drawing/2014/main" id="{E93C22F8-B8B3-46EE-9207-22088CB44CE6}"/>
            </a:ext>
          </a:extLst>
        </xdr:cNvPr>
        <xdr:cNvSpPr/>
      </xdr:nvSpPr>
      <xdr:spPr>
        <a:xfrm>
          <a:off x="8105775" y="504825"/>
          <a:ext cx="666750" cy="1895475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676275</xdr:colOff>
      <xdr:row>5</xdr:row>
      <xdr:rowOff>38101</xdr:rowOff>
    </xdr:from>
    <xdr:to>
      <xdr:col>10</xdr:col>
      <xdr:colOff>657225</xdr:colOff>
      <xdr:row>11</xdr:row>
      <xdr:rowOff>1</xdr:rowOff>
    </xdr:to>
    <xdr:sp macro="" textlink="">
      <xdr:nvSpPr>
        <xdr:cNvPr id="5" name="화살표: 굽음 4">
          <a:extLst>
            <a:ext uri="{FF2B5EF4-FFF2-40B4-BE49-F238E27FC236}">
              <a16:creationId xmlns:a16="http://schemas.microsoft.com/office/drawing/2014/main" id="{31D11D3F-E946-49BE-97BD-60AA93F4680A}"/>
            </a:ext>
          </a:extLst>
        </xdr:cNvPr>
        <xdr:cNvSpPr/>
      </xdr:nvSpPr>
      <xdr:spPr>
        <a:xfrm>
          <a:off x="8105775" y="1133476"/>
          <a:ext cx="666750" cy="1276350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676275</xdr:colOff>
      <xdr:row>8</xdr:row>
      <xdr:rowOff>9526</xdr:rowOff>
    </xdr:from>
    <xdr:to>
      <xdr:col>10</xdr:col>
      <xdr:colOff>657225</xdr:colOff>
      <xdr:row>10</xdr:row>
      <xdr:rowOff>209550</xdr:rowOff>
    </xdr:to>
    <xdr:sp macro="" textlink="">
      <xdr:nvSpPr>
        <xdr:cNvPr id="6" name="화살표: 굽음 5">
          <a:extLst>
            <a:ext uri="{FF2B5EF4-FFF2-40B4-BE49-F238E27FC236}">
              <a16:creationId xmlns:a16="http://schemas.microsoft.com/office/drawing/2014/main" id="{386FB87F-EAC2-40D3-A77E-256255EF161D}"/>
            </a:ext>
          </a:extLst>
        </xdr:cNvPr>
        <xdr:cNvSpPr/>
      </xdr:nvSpPr>
      <xdr:spPr>
        <a:xfrm>
          <a:off x="8105775" y="1762126"/>
          <a:ext cx="666750" cy="638174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676275</xdr:colOff>
      <xdr:row>9</xdr:row>
      <xdr:rowOff>209551</xdr:rowOff>
    </xdr:from>
    <xdr:to>
      <xdr:col>10</xdr:col>
      <xdr:colOff>657225</xdr:colOff>
      <xdr:row>12</xdr:row>
      <xdr:rowOff>190500</xdr:rowOff>
    </xdr:to>
    <xdr:sp macro="" textlink="">
      <xdr:nvSpPr>
        <xdr:cNvPr id="7" name="화살표: 굽음 6">
          <a:extLst>
            <a:ext uri="{FF2B5EF4-FFF2-40B4-BE49-F238E27FC236}">
              <a16:creationId xmlns:a16="http://schemas.microsoft.com/office/drawing/2014/main" id="{6732214A-0835-4232-9875-40656A04611C}"/>
            </a:ext>
          </a:extLst>
        </xdr:cNvPr>
        <xdr:cNvSpPr/>
      </xdr:nvSpPr>
      <xdr:spPr>
        <a:xfrm flipV="1">
          <a:off x="8105775" y="2181226"/>
          <a:ext cx="666750" cy="638174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676275</xdr:colOff>
      <xdr:row>11</xdr:row>
      <xdr:rowOff>0</xdr:rowOff>
    </xdr:from>
    <xdr:to>
      <xdr:col>10</xdr:col>
      <xdr:colOff>657225</xdr:colOff>
      <xdr:row>15</xdr:row>
      <xdr:rowOff>161925</xdr:rowOff>
    </xdr:to>
    <xdr:sp macro="" textlink="">
      <xdr:nvSpPr>
        <xdr:cNvPr id="8" name="화살표: 굽음 7">
          <a:extLst>
            <a:ext uri="{FF2B5EF4-FFF2-40B4-BE49-F238E27FC236}">
              <a16:creationId xmlns:a16="http://schemas.microsoft.com/office/drawing/2014/main" id="{1B723850-CD0B-45B4-BA08-7A16970E9463}"/>
            </a:ext>
          </a:extLst>
        </xdr:cNvPr>
        <xdr:cNvSpPr/>
      </xdr:nvSpPr>
      <xdr:spPr>
        <a:xfrm flipV="1">
          <a:off x="8105775" y="2409825"/>
          <a:ext cx="666750" cy="1038225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676275</xdr:colOff>
      <xdr:row>14</xdr:row>
      <xdr:rowOff>19050</xdr:rowOff>
    </xdr:from>
    <xdr:to>
      <xdr:col>10</xdr:col>
      <xdr:colOff>657225</xdr:colOff>
      <xdr:row>18</xdr:row>
      <xdr:rowOff>180975</xdr:rowOff>
    </xdr:to>
    <xdr:sp macro="" textlink="">
      <xdr:nvSpPr>
        <xdr:cNvPr id="9" name="화살표: 굽음 8">
          <a:extLst>
            <a:ext uri="{FF2B5EF4-FFF2-40B4-BE49-F238E27FC236}">
              <a16:creationId xmlns:a16="http://schemas.microsoft.com/office/drawing/2014/main" id="{8C9F60C1-8A38-472B-ABCF-250A8120EBDF}"/>
            </a:ext>
          </a:extLst>
        </xdr:cNvPr>
        <xdr:cNvSpPr/>
      </xdr:nvSpPr>
      <xdr:spPr>
        <a:xfrm flipV="1">
          <a:off x="8105775" y="3086100"/>
          <a:ext cx="666750" cy="1038225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4762</xdr:colOff>
      <xdr:row>5</xdr:row>
      <xdr:rowOff>195264</xdr:rowOff>
    </xdr:from>
    <xdr:to>
      <xdr:col>8</xdr:col>
      <xdr:colOff>533399</xdr:colOff>
      <xdr:row>10</xdr:row>
      <xdr:rowOff>3</xdr:rowOff>
    </xdr:to>
    <xdr:sp macro="" textlink="">
      <xdr:nvSpPr>
        <xdr:cNvPr id="10" name="화살표: 굽음 9">
          <a:extLst>
            <a:ext uri="{FF2B5EF4-FFF2-40B4-BE49-F238E27FC236}">
              <a16:creationId xmlns:a16="http://schemas.microsoft.com/office/drawing/2014/main" id="{66701DEC-3989-4CCF-A590-DBC36F50749A}"/>
            </a:ext>
          </a:extLst>
        </xdr:cNvPr>
        <xdr:cNvSpPr/>
      </xdr:nvSpPr>
      <xdr:spPr>
        <a:xfrm rot="5400000">
          <a:off x="5903117" y="750097"/>
          <a:ext cx="876301" cy="1909762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4762</xdr:colOff>
      <xdr:row>11</xdr:row>
      <xdr:rowOff>2</xdr:rowOff>
    </xdr:from>
    <xdr:to>
      <xdr:col>8</xdr:col>
      <xdr:colOff>533399</xdr:colOff>
      <xdr:row>15</xdr:row>
      <xdr:rowOff>19054</xdr:rowOff>
    </xdr:to>
    <xdr:sp macro="" textlink="">
      <xdr:nvSpPr>
        <xdr:cNvPr id="12" name="화살표: 굽음 11">
          <a:extLst>
            <a:ext uri="{FF2B5EF4-FFF2-40B4-BE49-F238E27FC236}">
              <a16:creationId xmlns:a16="http://schemas.microsoft.com/office/drawing/2014/main" id="{9F23DC1A-925D-4978-8517-46A5F565D824}"/>
            </a:ext>
          </a:extLst>
        </xdr:cNvPr>
        <xdr:cNvSpPr/>
      </xdr:nvSpPr>
      <xdr:spPr>
        <a:xfrm rot="16200000" flipV="1">
          <a:off x="5903117" y="1840710"/>
          <a:ext cx="876302" cy="1909762"/>
        </a:xfrm>
        <a:prstGeom prst="ben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654843</xdr:colOff>
      <xdr:row>22</xdr:row>
      <xdr:rowOff>59531</xdr:rowOff>
    </xdr:from>
    <xdr:to>
      <xdr:col>12</xdr:col>
      <xdr:colOff>11905</xdr:colOff>
      <xdr:row>26</xdr:row>
      <xdr:rowOff>41148</xdr:rowOff>
    </xdr:to>
    <xdr:sp macro="" textlink="">
      <xdr:nvSpPr>
        <xdr:cNvPr id="13" name="설명선: 선 12">
          <a:extLst>
            <a:ext uri="{FF2B5EF4-FFF2-40B4-BE49-F238E27FC236}">
              <a16:creationId xmlns:a16="http://schemas.microsoft.com/office/drawing/2014/main" id="{17FEFDA0-B3DB-4ECD-B2C7-5C86A2C6EDAF}"/>
            </a:ext>
          </a:extLst>
        </xdr:cNvPr>
        <xdr:cNvSpPr/>
      </xdr:nvSpPr>
      <xdr:spPr>
        <a:xfrm>
          <a:off x="6036468" y="4774406"/>
          <a:ext cx="3500437" cy="838867"/>
        </a:xfrm>
        <a:prstGeom prst="borderCallout1">
          <a:avLst>
            <a:gd name="adj1" fmla="val -1120"/>
            <a:gd name="adj2" fmla="val 170"/>
            <a:gd name="adj3" fmla="val -99445"/>
            <a:gd name="adj4" fmla="val -24661"/>
          </a:avLst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- </a:t>
          </a:r>
          <a:r>
            <a:rPr lang="ko-KR" altLang="en-US" sz="1100"/>
            <a:t>각 기관 별 라이브러리  구분 필요한지 파악 필요</a:t>
          </a:r>
          <a:endParaRPr lang="en-US" altLang="ko-KR" sz="1100"/>
        </a:p>
        <a:p>
          <a:pPr algn="l"/>
          <a:r>
            <a:rPr lang="en-US" altLang="ko-KR" sz="1100"/>
            <a:t>- </a:t>
          </a:r>
          <a:r>
            <a:rPr lang="ko-KR" altLang="en-US" sz="1100"/>
            <a:t>필요 시</a:t>
          </a:r>
          <a:r>
            <a:rPr lang="en-US" altLang="ko-KR" sz="1100"/>
            <a:t>, group</a:t>
          </a:r>
          <a:r>
            <a:rPr lang="ko-KR" altLang="en-US" sz="1100"/>
            <a:t>에 기관 코드 적용</a:t>
          </a:r>
          <a:endParaRPr lang="en-US" altLang="ko-KR" sz="1100"/>
        </a:p>
        <a:p>
          <a:pPr algn="l"/>
          <a:r>
            <a:rPr lang="en-US" altLang="ko-KR" sz="1100"/>
            <a:t>- </a:t>
          </a:r>
          <a:r>
            <a:rPr lang="ko-KR" altLang="en-US" sz="1100"/>
            <a:t>불 필요 시</a:t>
          </a:r>
          <a:r>
            <a:rPr lang="en-US" altLang="ko-KR" sz="1100"/>
            <a:t>, </a:t>
          </a:r>
          <a:r>
            <a:rPr lang="ko-KR" altLang="en-US" sz="1100"/>
            <a:t>통합 </a:t>
          </a:r>
          <a:r>
            <a:rPr lang="en-US" altLang="ko-KR" sz="1100"/>
            <a:t>nexus </a:t>
          </a:r>
          <a:r>
            <a:rPr lang="ko-KR" altLang="en-US" sz="1100"/>
            <a:t>구축</a:t>
          </a:r>
          <a:endParaRPr lang="en-US" altLang="ko-KR" sz="1100"/>
        </a:p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178595</xdr:colOff>
      <xdr:row>8</xdr:row>
      <xdr:rowOff>142875</xdr:rowOff>
    </xdr:from>
    <xdr:to>
      <xdr:col>15</xdr:col>
      <xdr:colOff>466440</xdr:colOff>
      <xdr:row>10</xdr:row>
      <xdr:rowOff>198882</xdr:rowOff>
    </xdr:to>
    <xdr:sp macro="" textlink="">
      <xdr:nvSpPr>
        <xdr:cNvPr id="24" name="화살표: 오각형 23">
          <a:extLst>
            <a:ext uri="{FF2B5EF4-FFF2-40B4-BE49-F238E27FC236}">
              <a16:creationId xmlns:a16="http://schemas.microsoft.com/office/drawing/2014/main" id="{840959F9-7DD0-4EB4-9705-69DF3F2D462C}"/>
            </a:ext>
          </a:extLst>
        </xdr:cNvPr>
        <xdr:cNvSpPr/>
      </xdr:nvSpPr>
      <xdr:spPr>
        <a:xfrm>
          <a:off x="11084720" y="1857375"/>
          <a:ext cx="978408" cy="484632"/>
        </a:xfrm>
        <a:prstGeom prst="homePlat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440535</xdr:colOff>
      <xdr:row>8</xdr:row>
      <xdr:rowOff>142875</xdr:rowOff>
    </xdr:from>
    <xdr:to>
      <xdr:col>16</xdr:col>
      <xdr:colOff>234605</xdr:colOff>
      <xdr:row>10</xdr:row>
      <xdr:rowOff>198882</xdr:rowOff>
    </xdr:to>
    <xdr:sp macro="" textlink="">
      <xdr:nvSpPr>
        <xdr:cNvPr id="25" name="화살표: 갈매기형 수장 24">
          <a:extLst>
            <a:ext uri="{FF2B5EF4-FFF2-40B4-BE49-F238E27FC236}">
              <a16:creationId xmlns:a16="http://schemas.microsoft.com/office/drawing/2014/main" id="{9B803BC1-5DAB-427B-8C99-709A48742BAC}"/>
            </a:ext>
          </a:extLst>
        </xdr:cNvPr>
        <xdr:cNvSpPr/>
      </xdr:nvSpPr>
      <xdr:spPr>
        <a:xfrm>
          <a:off x="12037223" y="1857375"/>
          <a:ext cx="484632" cy="484632"/>
        </a:xfrm>
        <a:prstGeom prst="chevr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154786</xdr:colOff>
      <xdr:row>8</xdr:row>
      <xdr:rowOff>142875</xdr:rowOff>
    </xdr:from>
    <xdr:to>
      <xdr:col>16</xdr:col>
      <xdr:colOff>639418</xdr:colOff>
      <xdr:row>10</xdr:row>
      <xdr:rowOff>198882</xdr:rowOff>
    </xdr:to>
    <xdr:sp macro="" textlink="">
      <xdr:nvSpPr>
        <xdr:cNvPr id="26" name="화살표: 갈매기형 수장 25">
          <a:extLst>
            <a:ext uri="{FF2B5EF4-FFF2-40B4-BE49-F238E27FC236}">
              <a16:creationId xmlns:a16="http://schemas.microsoft.com/office/drawing/2014/main" id="{12840D82-4E76-4A73-993E-A5C040E58F45}"/>
            </a:ext>
          </a:extLst>
        </xdr:cNvPr>
        <xdr:cNvSpPr/>
      </xdr:nvSpPr>
      <xdr:spPr>
        <a:xfrm>
          <a:off x="12442036" y="1857375"/>
          <a:ext cx="484632" cy="484632"/>
        </a:xfrm>
        <a:prstGeom prst="chevr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607223</xdr:colOff>
      <xdr:row>8</xdr:row>
      <xdr:rowOff>142875</xdr:rowOff>
    </xdr:from>
    <xdr:to>
      <xdr:col>17</xdr:col>
      <xdr:colOff>401292</xdr:colOff>
      <xdr:row>10</xdr:row>
      <xdr:rowOff>198882</xdr:rowOff>
    </xdr:to>
    <xdr:sp macro="" textlink="">
      <xdr:nvSpPr>
        <xdr:cNvPr id="27" name="화살표: 갈매기형 수장 26">
          <a:extLst>
            <a:ext uri="{FF2B5EF4-FFF2-40B4-BE49-F238E27FC236}">
              <a16:creationId xmlns:a16="http://schemas.microsoft.com/office/drawing/2014/main" id="{63915665-025C-43B0-9BAA-2AC225099364}"/>
            </a:ext>
          </a:extLst>
        </xdr:cNvPr>
        <xdr:cNvSpPr/>
      </xdr:nvSpPr>
      <xdr:spPr>
        <a:xfrm>
          <a:off x="12894473" y="1857375"/>
          <a:ext cx="484632" cy="484632"/>
        </a:xfrm>
        <a:prstGeom prst="chevron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02F4F-B421-4280-B665-0AE2BE414BA4}">
  <dimension ref="B1:K65"/>
  <sheetViews>
    <sheetView tabSelected="1" topLeftCell="C1" zoomScale="80" zoomScaleNormal="80" workbookViewId="0">
      <pane ySplit="1" topLeftCell="A2" activePane="bottomLeft" state="frozen"/>
      <selection pane="bottomLeft" activeCell="J23" sqref="J23"/>
    </sheetView>
  </sheetViews>
  <sheetFormatPr defaultRowHeight="16.5" x14ac:dyDescent="0.3"/>
  <cols>
    <col min="1" max="1" width="1.25" customWidth="1"/>
    <col min="2" max="2" width="12.75" style="1" customWidth="1"/>
    <col min="3" max="3" width="14.5" style="1" customWidth="1"/>
    <col min="4" max="4" width="13.75" style="1" hidden="1" customWidth="1"/>
    <col min="5" max="5" width="8.75" style="1" customWidth="1"/>
    <col min="6" max="6" width="38" customWidth="1"/>
    <col min="7" max="7" width="44.125" customWidth="1"/>
    <col min="8" max="8" width="45.125" customWidth="1"/>
    <col min="9" max="9" width="27" customWidth="1"/>
    <col min="10" max="10" width="36.375" customWidth="1"/>
    <col min="11" max="11" width="13.125" style="1" bestFit="1" customWidth="1"/>
  </cols>
  <sheetData>
    <row r="1" spans="2:11" x14ac:dyDescent="0.3">
      <c r="B1" s="7" t="s">
        <v>0</v>
      </c>
      <c r="C1" s="7" t="s">
        <v>1</v>
      </c>
      <c r="D1" s="2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tr">
        <f>"휴가사용( " &amp; K65 &amp; " )"</f>
        <v>휴가사용( 4 )</v>
      </c>
    </row>
    <row r="2" spans="2:11" ht="33" x14ac:dyDescent="0.3">
      <c r="B2" s="3" t="str">
        <f>"D-"&amp;(C65-C2)</f>
        <v>D-276</v>
      </c>
      <c r="C2" s="4">
        <v>46111</v>
      </c>
      <c r="D2" s="3">
        <f>WEEKDAY(C2)</f>
        <v>2</v>
      </c>
      <c r="E2" s="3" t="str">
        <f>CHOOSE(WEEKDAY(D2,2),"월", "화", "수", "목", "금", "토", "일")</f>
        <v>월</v>
      </c>
      <c r="F2" s="5"/>
      <c r="G2" s="5" t="s">
        <v>9</v>
      </c>
      <c r="H2" s="5"/>
      <c r="I2" s="6" t="s">
        <v>14</v>
      </c>
      <c r="J2" s="5" t="s">
        <v>10</v>
      </c>
      <c r="K2" s="3">
        <f>IF(COUNTIF(J2, "*최훈탁C 휴가(종일)*") = 1, 1, IF(COUNTIF(J2, "*최훈탁C 휴가(오*") = 1, 0.5, 0))</f>
        <v>0</v>
      </c>
    </row>
    <row r="3" spans="2:11" ht="33" x14ac:dyDescent="0.3">
      <c r="B3" s="3" t="str">
        <f>"D-"&amp;(C65-C3)</f>
        <v>D-275</v>
      </c>
      <c r="C3" s="4">
        <v>46112</v>
      </c>
      <c r="D3" s="3">
        <f t="shared" ref="D3:D16" si="0">WEEKDAY(C3)</f>
        <v>3</v>
      </c>
      <c r="E3" s="3" t="str">
        <f t="shared" ref="E3:E65" si="1">CHOOSE(WEEKDAY(D3,2),"월", "화", "수", "목", "금", "토", "일")</f>
        <v>화</v>
      </c>
      <c r="F3" s="5"/>
      <c r="G3" s="6" t="s">
        <v>9</v>
      </c>
      <c r="H3" s="5"/>
      <c r="I3" s="6" t="s">
        <v>15</v>
      </c>
      <c r="J3" s="5"/>
      <c r="K3" s="3">
        <f t="shared" ref="K3:K64" si="2">IF(COUNTIF(J3, "*최훈탁C 휴가(종일)*") = 1, 1, IF(COUNTIF(J3, "*최훈탁C 휴가(오*") = 1, 0.5, 0))</f>
        <v>0</v>
      </c>
    </row>
    <row r="4" spans="2:11" ht="115.5" x14ac:dyDescent="0.3">
      <c r="B4" s="3" t="str">
        <f>"D-"&amp;(C65-C4)</f>
        <v>D-274</v>
      </c>
      <c r="C4" s="4">
        <v>46113</v>
      </c>
      <c r="D4" s="3">
        <f t="shared" si="0"/>
        <v>4</v>
      </c>
      <c r="E4" s="3" t="str">
        <f t="shared" si="1"/>
        <v>수</v>
      </c>
      <c r="F4" s="5" t="s">
        <v>13</v>
      </c>
      <c r="G4" s="6"/>
      <c r="H4" s="6" t="s">
        <v>36</v>
      </c>
      <c r="I4" s="5"/>
      <c r="J4" s="5"/>
      <c r="K4" s="3">
        <f t="shared" si="2"/>
        <v>0</v>
      </c>
    </row>
    <row r="5" spans="2:11" x14ac:dyDescent="0.3">
      <c r="B5" s="3" t="str">
        <f>"D-"&amp;(C65-C5)</f>
        <v>D-273</v>
      </c>
      <c r="C5" s="4">
        <v>46114</v>
      </c>
      <c r="D5" s="3">
        <f t="shared" si="0"/>
        <v>5</v>
      </c>
      <c r="E5" s="3" t="str">
        <f t="shared" si="1"/>
        <v>목</v>
      </c>
      <c r="F5" s="5" t="s">
        <v>13</v>
      </c>
      <c r="G5" s="5"/>
      <c r="H5" s="5" t="s">
        <v>74</v>
      </c>
      <c r="I5" s="5"/>
      <c r="J5" s="5"/>
      <c r="K5" s="3">
        <f t="shared" si="2"/>
        <v>0</v>
      </c>
    </row>
    <row r="6" spans="2:11" ht="49.5" x14ac:dyDescent="0.3">
      <c r="B6" s="3" t="str">
        <f>"D-"&amp;(C65-C6)</f>
        <v>D-272</v>
      </c>
      <c r="C6" s="4">
        <v>46115</v>
      </c>
      <c r="D6" s="3">
        <f t="shared" si="0"/>
        <v>6</v>
      </c>
      <c r="E6" s="3" t="str">
        <f t="shared" si="1"/>
        <v>금</v>
      </c>
      <c r="F6" s="6" t="s">
        <v>75</v>
      </c>
      <c r="G6" s="5"/>
      <c r="H6" s="5"/>
      <c r="I6" s="5"/>
      <c r="J6" s="6" t="s">
        <v>76</v>
      </c>
      <c r="K6" s="3">
        <f t="shared" si="2"/>
        <v>0</v>
      </c>
    </row>
    <row r="7" spans="2:11" x14ac:dyDescent="0.3">
      <c r="B7" s="3" t="str">
        <f>"D-"&amp;(C65-C7)</f>
        <v>D-271</v>
      </c>
      <c r="C7" s="4">
        <v>46116</v>
      </c>
      <c r="D7" s="3">
        <f t="shared" si="0"/>
        <v>7</v>
      </c>
      <c r="E7" s="3" t="str">
        <f t="shared" si="1"/>
        <v>토</v>
      </c>
      <c r="F7" s="5" t="s">
        <v>35</v>
      </c>
      <c r="G7" s="5"/>
      <c r="H7" s="5"/>
      <c r="I7" s="5"/>
      <c r="J7" s="5"/>
      <c r="K7" s="3">
        <f t="shared" si="2"/>
        <v>0</v>
      </c>
    </row>
    <row r="8" spans="2:11" x14ac:dyDescent="0.3">
      <c r="B8" s="3" t="str">
        <f>"D-"&amp;(C65-C8)</f>
        <v>D-270</v>
      </c>
      <c r="C8" s="4">
        <v>46117</v>
      </c>
      <c r="D8" s="3">
        <f t="shared" si="0"/>
        <v>1</v>
      </c>
      <c r="E8" s="3" t="str">
        <f t="shared" si="1"/>
        <v>일</v>
      </c>
      <c r="F8" s="5" t="s">
        <v>35</v>
      </c>
      <c r="G8" s="5"/>
      <c r="H8" s="5"/>
      <c r="I8" s="5"/>
      <c r="J8" s="5"/>
      <c r="K8" s="3">
        <f t="shared" si="2"/>
        <v>0</v>
      </c>
    </row>
    <row r="9" spans="2:11" x14ac:dyDescent="0.3">
      <c r="B9" s="3" t="str">
        <f>"D-"&amp;(C65-C9)</f>
        <v>D-269</v>
      </c>
      <c r="C9" s="4">
        <v>46118</v>
      </c>
      <c r="D9" s="3">
        <f t="shared" si="0"/>
        <v>2</v>
      </c>
      <c r="E9" s="3" t="str">
        <f t="shared" si="1"/>
        <v>월</v>
      </c>
      <c r="F9" s="6" t="s">
        <v>12</v>
      </c>
      <c r="G9" s="5"/>
      <c r="H9" s="5"/>
      <c r="I9" s="5"/>
      <c r="J9" s="5" t="s">
        <v>29</v>
      </c>
      <c r="K9" s="3">
        <f t="shared" si="2"/>
        <v>1</v>
      </c>
    </row>
    <row r="10" spans="2:11" x14ac:dyDescent="0.3">
      <c r="B10" s="3" t="str">
        <f>"D-"&amp;(C65-C10)</f>
        <v>D-268</v>
      </c>
      <c r="C10" s="4">
        <v>46119</v>
      </c>
      <c r="D10" s="3">
        <f t="shared" si="0"/>
        <v>3</v>
      </c>
      <c r="E10" s="3" t="str">
        <f t="shared" si="1"/>
        <v>화</v>
      </c>
      <c r="F10" s="6" t="s">
        <v>12</v>
      </c>
      <c r="G10" s="5"/>
      <c r="H10" s="5"/>
      <c r="I10" s="5"/>
      <c r="J10" s="5" t="s">
        <v>29</v>
      </c>
      <c r="K10" s="3">
        <f t="shared" si="2"/>
        <v>1</v>
      </c>
    </row>
    <row r="11" spans="2:11" x14ac:dyDescent="0.3">
      <c r="B11" s="3" t="str">
        <f>"D-"&amp;(C65-C11)</f>
        <v>D-267</v>
      </c>
      <c r="C11" s="4">
        <v>46120</v>
      </c>
      <c r="D11" s="3">
        <f t="shared" si="0"/>
        <v>4</v>
      </c>
      <c r="E11" s="3" t="str">
        <f t="shared" si="1"/>
        <v>수</v>
      </c>
      <c r="F11" s="6" t="s">
        <v>12</v>
      </c>
      <c r="G11" s="5"/>
      <c r="H11" s="5"/>
      <c r="I11" s="5"/>
      <c r="J11" s="5" t="s">
        <v>29</v>
      </c>
      <c r="K11" s="3">
        <f t="shared" si="2"/>
        <v>1</v>
      </c>
    </row>
    <row r="12" spans="2:11" x14ac:dyDescent="0.3">
      <c r="B12" s="3" t="str">
        <f>"D-"&amp;(C65-C12)</f>
        <v>D-266</v>
      </c>
      <c r="C12" s="4">
        <v>46121</v>
      </c>
      <c r="D12" s="3">
        <f t="shared" si="0"/>
        <v>5</v>
      </c>
      <c r="E12" s="3" t="str">
        <f t="shared" si="1"/>
        <v>목</v>
      </c>
      <c r="F12" s="6" t="s">
        <v>12</v>
      </c>
      <c r="G12" s="5"/>
      <c r="H12" s="5"/>
      <c r="I12" s="5"/>
      <c r="J12" s="5" t="s">
        <v>29</v>
      </c>
      <c r="K12" s="3">
        <f t="shared" si="2"/>
        <v>1</v>
      </c>
    </row>
    <row r="13" spans="2:11" ht="33" x14ac:dyDescent="0.3">
      <c r="B13" s="3" t="str">
        <f>"D-"&amp;(C65-C13)</f>
        <v>D-265</v>
      </c>
      <c r="C13" s="4">
        <v>46122</v>
      </c>
      <c r="D13" s="3">
        <f t="shared" si="0"/>
        <v>6</v>
      </c>
      <c r="E13" s="3" t="str">
        <f t="shared" si="1"/>
        <v>금</v>
      </c>
      <c r="F13" s="5" t="s">
        <v>30</v>
      </c>
      <c r="G13" s="5"/>
      <c r="H13" s="5"/>
      <c r="I13" s="5"/>
      <c r="J13" s="6" t="s">
        <v>17</v>
      </c>
      <c r="K13" s="3">
        <f t="shared" si="2"/>
        <v>0</v>
      </c>
    </row>
    <row r="14" spans="2:11" x14ac:dyDescent="0.3">
      <c r="B14" s="3" t="str">
        <f>"D-"&amp;(C65-C14)</f>
        <v>D-264</v>
      </c>
      <c r="C14" s="4">
        <v>46123</v>
      </c>
      <c r="D14" s="3">
        <f t="shared" si="0"/>
        <v>7</v>
      </c>
      <c r="E14" s="3" t="str">
        <f t="shared" si="1"/>
        <v>토</v>
      </c>
      <c r="F14" s="5" t="s">
        <v>35</v>
      </c>
      <c r="G14" s="5"/>
      <c r="H14" s="5"/>
      <c r="I14" s="5"/>
      <c r="J14" s="5"/>
      <c r="K14" s="3">
        <f t="shared" si="2"/>
        <v>0</v>
      </c>
    </row>
    <row r="15" spans="2:11" x14ac:dyDescent="0.3">
      <c r="B15" s="3" t="str">
        <f>"D-"&amp;(C65-C15)</f>
        <v>D-263</v>
      </c>
      <c r="C15" s="4">
        <v>46124</v>
      </c>
      <c r="D15" s="3">
        <f t="shared" si="0"/>
        <v>1</v>
      </c>
      <c r="E15" s="3" t="str">
        <f t="shared" si="1"/>
        <v>일</v>
      </c>
      <c r="F15" s="5" t="s">
        <v>35</v>
      </c>
      <c r="G15" s="5"/>
      <c r="H15" s="5"/>
      <c r="I15" s="5"/>
      <c r="J15" s="5"/>
      <c r="K15" s="3">
        <f t="shared" si="2"/>
        <v>0</v>
      </c>
    </row>
    <row r="16" spans="2:11" ht="66" x14ac:dyDescent="0.3">
      <c r="B16" s="3" t="str">
        <f>"D-"&amp;(C65-C16)</f>
        <v>D-262</v>
      </c>
      <c r="C16" s="4">
        <v>46125</v>
      </c>
      <c r="D16" s="3">
        <f t="shared" si="0"/>
        <v>2</v>
      </c>
      <c r="E16" s="3" t="str">
        <f t="shared" si="1"/>
        <v>월</v>
      </c>
      <c r="F16" s="6" t="s">
        <v>34</v>
      </c>
      <c r="G16" s="5"/>
      <c r="H16" s="5"/>
      <c r="I16" s="5"/>
      <c r="J16" s="5"/>
      <c r="K16" s="3">
        <f t="shared" si="2"/>
        <v>0</v>
      </c>
    </row>
    <row r="17" spans="2:11" x14ac:dyDescent="0.3">
      <c r="B17" s="3" t="str">
        <f>"D-"&amp;(C65-C17)</f>
        <v>D-261</v>
      </c>
      <c r="C17" s="4">
        <v>46126</v>
      </c>
      <c r="D17" s="3">
        <f>WEEKDAY(C17)</f>
        <v>3</v>
      </c>
      <c r="E17" s="3" t="str">
        <f t="shared" si="1"/>
        <v>화</v>
      </c>
      <c r="F17" s="5"/>
      <c r="G17" s="5"/>
      <c r="H17" s="5"/>
      <c r="I17" s="5"/>
      <c r="J17" s="5"/>
      <c r="K17" s="3">
        <f t="shared" si="2"/>
        <v>0</v>
      </c>
    </row>
    <row r="18" spans="2:11" x14ac:dyDescent="0.3">
      <c r="B18" s="3" t="str">
        <f>"D-"&amp;(C65-C18)</f>
        <v>D-260</v>
      </c>
      <c r="C18" s="4">
        <v>46127</v>
      </c>
      <c r="D18" s="3">
        <f t="shared" ref="D18:D64" si="3">WEEKDAY(C18)</f>
        <v>4</v>
      </c>
      <c r="E18" s="3" t="str">
        <f t="shared" si="1"/>
        <v>수</v>
      </c>
      <c r="F18" s="5"/>
      <c r="G18" s="5"/>
      <c r="H18" s="5"/>
      <c r="I18" s="5"/>
      <c r="J18" s="5"/>
      <c r="K18" s="3">
        <f t="shared" si="2"/>
        <v>0</v>
      </c>
    </row>
    <row r="19" spans="2:11" x14ac:dyDescent="0.3">
      <c r="B19" s="3" t="str">
        <f>"D-"&amp;(C65-C19)</f>
        <v>D-259</v>
      </c>
      <c r="C19" s="4">
        <v>46128</v>
      </c>
      <c r="D19" s="3">
        <f t="shared" si="3"/>
        <v>5</v>
      </c>
      <c r="E19" s="3" t="str">
        <f t="shared" si="1"/>
        <v>목</v>
      </c>
      <c r="F19" s="5" t="s">
        <v>31</v>
      </c>
      <c r="G19" s="5"/>
      <c r="H19" s="5"/>
      <c r="I19" s="5"/>
      <c r="J19" s="5"/>
      <c r="K19" s="3">
        <f t="shared" si="2"/>
        <v>0</v>
      </c>
    </row>
    <row r="20" spans="2:11" x14ac:dyDescent="0.3">
      <c r="B20" s="3" t="str">
        <f>"D-"&amp;(C65-C20)</f>
        <v>D-258</v>
      </c>
      <c r="C20" s="4">
        <v>46129</v>
      </c>
      <c r="D20" s="3">
        <f t="shared" si="3"/>
        <v>6</v>
      </c>
      <c r="E20" s="3" t="str">
        <f t="shared" si="1"/>
        <v>금</v>
      </c>
      <c r="F20" s="5"/>
      <c r="G20" s="5"/>
      <c r="H20" s="5"/>
      <c r="I20" s="5"/>
      <c r="J20" s="5"/>
      <c r="K20" s="3">
        <f t="shared" si="2"/>
        <v>0</v>
      </c>
    </row>
    <row r="21" spans="2:11" x14ac:dyDescent="0.3">
      <c r="B21" s="3" t="str">
        <f>"D-"&amp;(C65-C21)</f>
        <v>D-257</v>
      </c>
      <c r="C21" s="4">
        <v>46130</v>
      </c>
      <c r="D21" s="3">
        <f t="shared" si="3"/>
        <v>7</v>
      </c>
      <c r="E21" s="3" t="str">
        <f t="shared" si="1"/>
        <v>토</v>
      </c>
      <c r="F21" s="5" t="s">
        <v>35</v>
      </c>
      <c r="G21" s="5"/>
      <c r="H21" s="5"/>
      <c r="I21" s="5"/>
      <c r="J21" s="5"/>
      <c r="K21" s="3">
        <f t="shared" si="2"/>
        <v>0</v>
      </c>
    </row>
    <row r="22" spans="2:11" x14ac:dyDescent="0.3">
      <c r="B22" s="3" t="str">
        <f>"D-"&amp;(C65-C22)</f>
        <v>D-256</v>
      </c>
      <c r="C22" s="4">
        <v>46131</v>
      </c>
      <c r="D22" s="3">
        <f t="shared" si="3"/>
        <v>1</v>
      </c>
      <c r="E22" s="3" t="str">
        <f t="shared" si="1"/>
        <v>일</v>
      </c>
      <c r="F22" s="5" t="s">
        <v>35</v>
      </c>
      <c r="G22" s="5"/>
      <c r="H22" s="5"/>
      <c r="I22" s="5"/>
      <c r="J22" s="5"/>
      <c r="K22" s="3">
        <f t="shared" si="2"/>
        <v>0</v>
      </c>
    </row>
    <row r="23" spans="2:11" x14ac:dyDescent="0.3">
      <c r="B23" s="3" t="str">
        <f>"D-"&amp;(C65-C23)</f>
        <v>D-255</v>
      </c>
      <c r="C23" s="4">
        <v>46132</v>
      </c>
      <c r="D23" s="3">
        <f t="shared" si="3"/>
        <v>2</v>
      </c>
      <c r="E23" s="3" t="str">
        <f t="shared" si="1"/>
        <v>월</v>
      </c>
      <c r="F23" s="5"/>
      <c r="G23" s="5"/>
      <c r="H23" s="5"/>
      <c r="I23" s="5"/>
      <c r="J23" s="5" t="s">
        <v>16</v>
      </c>
      <c r="K23" s="3">
        <f t="shared" si="2"/>
        <v>0</v>
      </c>
    </row>
    <row r="24" spans="2:11" x14ac:dyDescent="0.3">
      <c r="B24" s="3" t="str">
        <f>"D-"&amp;(C65-C24)</f>
        <v>D-254</v>
      </c>
      <c r="C24" s="4">
        <v>46133</v>
      </c>
      <c r="D24" s="3">
        <f t="shared" si="3"/>
        <v>3</v>
      </c>
      <c r="E24" s="3" t="str">
        <f t="shared" si="1"/>
        <v>화</v>
      </c>
      <c r="F24" s="5"/>
      <c r="G24" s="5"/>
      <c r="H24" s="5"/>
      <c r="I24" s="5"/>
      <c r="J24" s="5"/>
      <c r="K24" s="3">
        <f t="shared" si="2"/>
        <v>0</v>
      </c>
    </row>
    <row r="25" spans="2:11" x14ac:dyDescent="0.3">
      <c r="B25" s="3" t="str">
        <f>"D-"&amp;(C65-C25)</f>
        <v>D-253</v>
      </c>
      <c r="C25" s="4">
        <v>46134</v>
      </c>
      <c r="D25" s="3">
        <f t="shared" si="3"/>
        <v>4</v>
      </c>
      <c r="E25" s="3" t="str">
        <f t="shared" si="1"/>
        <v>수</v>
      </c>
      <c r="F25" s="5"/>
      <c r="G25" s="5"/>
      <c r="H25" s="5"/>
      <c r="I25" s="5"/>
      <c r="J25" s="5"/>
      <c r="K25" s="3">
        <f t="shared" si="2"/>
        <v>0</v>
      </c>
    </row>
    <row r="26" spans="2:11" x14ac:dyDescent="0.3">
      <c r="B26" s="3" t="str">
        <f>"D-"&amp;(C65-C26)</f>
        <v>D-252</v>
      </c>
      <c r="C26" s="4">
        <v>46135</v>
      </c>
      <c r="D26" s="3">
        <f t="shared" si="3"/>
        <v>5</v>
      </c>
      <c r="E26" s="3" t="str">
        <f t="shared" si="1"/>
        <v>목</v>
      </c>
      <c r="F26" s="5"/>
      <c r="G26" s="5"/>
      <c r="H26" s="5"/>
      <c r="I26" s="5"/>
      <c r="J26" s="5"/>
      <c r="K26" s="3">
        <f t="shared" si="2"/>
        <v>0</v>
      </c>
    </row>
    <row r="27" spans="2:11" x14ac:dyDescent="0.3">
      <c r="B27" s="3" t="str">
        <f>"D-"&amp;(C65-C27)</f>
        <v>D-251</v>
      </c>
      <c r="C27" s="4">
        <v>46136</v>
      </c>
      <c r="D27" s="3">
        <f t="shared" si="3"/>
        <v>6</v>
      </c>
      <c r="E27" s="3" t="str">
        <f t="shared" si="1"/>
        <v>금</v>
      </c>
      <c r="F27" s="5"/>
      <c r="G27" s="5"/>
      <c r="H27" s="5"/>
      <c r="I27" s="5"/>
      <c r="J27" s="5"/>
      <c r="K27" s="3">
        <f t="shared" si="2"/>
        <v>0</v>
      </c>
    </row>
    <row r="28" spans="2:11" x14ac:dyDescent="0.3">
      <c r="B28" s="3" t="str">
        <f>"D-"&amp;(C65-C28)</f>
        <v>D-250</v>
      </c>
      <c r="C28" s="4">
        <v>46137</v>
      </c>
      <c r="D28" s="3">
        <f t="shared" si="3"/>
        <v>7</v>
      </c>
      <c r="E28" s="3" t="str">
        <f t="shared" si="1"/>
        <v>토</v>
      </c>
      <c r="F28" s="5" t="s">
        <v>35</v>
      </c>
      <c r="G28" s="5"/>
      <c r="H28" s="5"/>
      <c r="I28" s="5"/>
      <c r="J28" s="5"/>
      <c r="K28" s="3">
        <f t="shared" si="2"/>
        <v>0</v>
      </c>
    </row>
    <row r="29" spans="2:11" x14ac:dyDescent="0.3">
      <c r="B29" s="3" t="str">
        <f>"D-"&amp;(C65-C29)</f>
        <v>D-249</v>
      </c>
      <c r="C29" s="4">
        <v>46138</v>
      </c>
      <c r="D29" s="3">
        <f t="shared" si="3"/>
        <v>1</v>
      </c>
      <c r="E29" s="3" t="str">
        <f t="shared" si="1"/>
        <v>일</v>
      </c>
      <c r="F29" s="5" t="s">
        <v>35</v>
      </c>
      <c r="G29" s="5"/>
      <c r="H29" s="5"/>
      <c r="I29" s="5"/>
      <c r="J29" s="5"/>
      <c r="K29" s="3">
        <f t="shared" si="2"/>
        <v>0</v>
      </c>
    </row>
    <row r="30" spans="2:11" x14ac:dyDescent="0.3">
      <c r="B30" s="3" t="str">
        <f>"D-"&amp;(C65-C30)</f>
        <v>D-248</v>
      </c>
      <c r="C30" s="4">
        <v>46139</v>
      </c>
      <c r="D30" s="3">
        <f t="shared" si="3"/>
        <v>2</v>
      </c>
      <c r="E30" s="3" t="str">
        <f t="shared" si="1"/>
        <v>월</v>
      </c>
      <c r="F30" s="5"/>
      <c r="G30" s="5"/>
      <c r="H30" s="5"/>
      <c r="I30" s="5"/>
      <c r="J30" s="5"/>
      <c r="K30" s="3">
        <f t="shared" si="2"/>
        <v>0</v>
      </c>
    </row>
    <row r="31" spans="2:11" x14ac:dyDescent="0.3">
      <c r="B31" s="3" t="str">
        <f>"D-"&amp;(C65-C31)</f>
        <v>D-247</v>
      </c>
      <c r="C31" s="4">
        <v>46140</v>
      </c>
      <c r="D31" s="3">
        <f t="shared" si="3"/>
        <v>3</v>
      </c>
      <c r="E31" s="3" t="str">
        <f t="shared" si="1"/>
        <v>화</v>
      </c>
      <c r="F31" s="5"/>
      <c r="G31" s="5"/>
      <c r="H31" s="5"/>
      <c r="I31" s="5"/>
      <c r="J31" s="5"/>
      <c r="K31" s="3">
        <f t="shared" si="2"/>
        <v>0</v>
      </c>
    </row>
    <row r="32" spans="2:11" x14ac:dyDescent="0.3">
      <c r="B32" s="3" t="str">
        <f>"D-"&amp;(C65-C32)</f>
        <v>D-246</v>
      </c>
      <c r="C32" s="4">
        <v>46141</v>
      </c>
      <c r="D32" s="3">
        <f t="shared" si="3"/>
        <v>4</v>
      </c>
      <c r="E32" s="3" t="str">
        <f t="shared" si="1"/>
        <v>수</v>
      </c>
      <c r="F32" s="5"/>
      <c r="G32" s="5"/>
      <c r="H32" s="5"/>
      <c r="I32" s="5"/>
      <c r="J32" s="5"/>
      <c r="K32" s="3">
        <f t="shared" si="2"/>
        <v>0</v>
      </c>
    </row>
    <row r="33" spans="2:11" x14ac:dyDescent="0.3">
      <c r="B33" s="3" t="str">
        <f>"D-"&amp;(C65-C33)</f>
        <v>D-245</v>
      </c>
      <c r="C33" s="4">
        <v>46142</v>
      </c>
      <c r="D33" s="3">
        <f t="shared" si="3"/>
        <v>5</v>
      </c>
      <c r="E33" s="3" t="str">
        <f t="shared" si="1"/>
        <v>목</v>
      </c>
      <c r="F33" s="5"/>
      <c r="G33" s="5"/>
      <c r="H33" s="5"/>
      <c r="I33" s="5"/>
      <c r="J33" s="5"/>
      <c r="K33" s="3">
        <f t="shared" si="2"/>
        <v>0</v>
      </c>
    </row>
    <row r="34" spans="2:11" x14ac:dyDescent="0.3">
      <c r="B34" s="3" t="str">
        <f>"D-"&amp;(C65-C34)</f>
        <v>D-244</v>
      </c>
      <c r="C34" s="4">
        <v>46143</v>
      </c>
      <c r="D34" s="3">
        <f t="shared" si="3"/>
        <v>6</v>
      </c>
      <c r="E34" s="3" t="str">
        <f t="shared" si="1"/>
        <v>금</v>
      </c>
      <c r="F34" s="5"/>
      <c r="G34" s="5"/>
      <c r="H34" s="5"/>
      <c r="I34" s="5"/>
      <c r="J34" s="5" t="s">
        <v>32</v>
      </c>
      <c r="K34" s="3">
        <f t="shared" si="2"/>
        <v>0</v>
      </c>
    </row>
    <row r="35" spans="2:11" x14ac:dyDescent="0.3">
      <c r="B35" s="3" t="str">
        <f>"D-"&amp;(C65-C35)</f>
        <v>D-243</v>
      </c>
      <c r="C35" s="4">
        <v>46144</v>
      </c>
      <c r="D35" s="3">
        <f t="shared" si="3"/>
        <v>7</v>
      </c>
      <c r="E35" s="3" t="str">
        <f t="shared" si="1"/>
        <v>토</v>
      </c>
      <c r="F35" s="5" t="s">
        <v>35</v>
      </c>
      <c r="G35" s="5"/>
      <c r="H35" s="5"/>
      <c r="I35" s="5"/>
      <c r="J35" s="5"/>
      <c r="K35" s="3">
        <f t="shared" si="2"/>
        <v>0</v>
      </c>
    </row>
    <row r="36" spans="2:11" x14ac:dyDescent="0.3">
      <c r="B36" s="3" t="str">
        <f>"D-"&amp;(C65-C36)</f>
        <v>D-242</v>
      </c>
      <c r="C36" s="4">
        <v>46145</v>
      </c>
      <c r="D36" s="3">
        <f t="shared" si="3"/>
        <v>1</v>
      </c>
      <c r="E36" s="3" t="str">
        <f t="shared" si="1"/>
        <v>일</v>
      </c>
      <c r="F36" s="5" t="s">
        <v>35</v>
      </c>
      <c r="G36" s="5"/>
      <c r="H36" s="5"/>
      <c r="I36" s="5"/>
      <c r="J36" s="5"/>
      <c r="K36" s="3">
        <f t="shared" si="2"/>
        <v>0</v>
      </c>
    </row>
    <row r="37" spans="2:11" x14ac:dyDescent="0.3">
      <c r="B37" s="3" t="str">
        <f>"D-"&amp;(C65-C37)</f>
        <v>D-241</v>
      </c>
      <c r="C37" s="4">
        <v>46146</v>
      </c>
      <c r="D37" s="3">
        <f t="shared" si="3"/>
        <v>2</v>
      </c>
      <c r="E37" s="3" t="str">
        <f t="shared" si="1"/>
        <v>월</v>
      </c>
      <c r="F37" s="5"/>
      <c r="G37" s="5"/>
      <c r="H37" s="5"/>
      <c r="I37" s="5"/>
      <c r="J37" s="5" t="s">
        <v>33</v>
      </c>
      <c r="K37" s="3">
        <f t="shared" si="2"/>
        <v>0</v>
      </c>
    </row>
    <row r="38" spans="2:11" x14ac:dyDescent="0.3">
      <c r="B38" s="3" t="str">
        <f>"D-"&amp;(C65-C38)</f>
        <v>D-240</v>
      </c>
      <c r="C38" s="4">
        <v>46147</v>
      </c>
      <c r="D38" s="3">
        <f t="shared" si="3"/>
        <v>3</v>
      </c>
      <c r="E38" s="3" t="str">
        <f t="shared" si="1"/>
        <v>화</v>
      </c>
      <c r="F38" s="5"/>
      <c r="G38" s="5"/>
      <c r="H38" s="5"/>
      <c r="I38" s="5"/>
      <c r="J38" s="5"/>
      <c r="K38" s="3">
        <f t="shared" si="2"/>
        <v>0</v>
      </c>
    </row>
    <row r="39" spans="2:11" x14ac:dyDescent="0.3">
      <c r="B39" s="3" t="str">
        <f>"D-"&amp;(C65-C39)</f>
        <v>D-239</v>
      </c>
      <c r="C39" s="4">
        <v>46148</v>
      </c>
      <c r="D39" s="3">
        <f t="shared" si="3"/>
        <v>4</v>
      </c>
      <c r="E39" s="3" t="str">
        <f t="shared" si="1"/>
        <v>수</v>
      </c>
      <c r="F39" s="5"/>
      <c r="G39" s="5"/>
      <c r="H39" s="5"/>
      <c r="I39" s="5"/>
      <c r="J39" s="5"/>
      <c r="K39" s="3">
        <f t="shared" si="2"/>
        <v>0</v>
      </c>
    </row>
    <row r="40" spans="2:11" x14ac:dyDescent="0.3">
      <c r="B40" s="3" t="str">
        <f>"D-"&amp;(C65-C40)</f>
        <v>D-238</v>
      </c>
      <c r="C40" s="4">
        <v>46149</v>
      </c>
      <c r="D40" s="3">
        <f t="shared" si="3"/>
        <v>5</v>
      </c>
      <c r="E40" s="3" t="str">
        <f t="shared" si="1"/>
        <v>목</v>
      </c>
      <c r="F40" s="5"/>
      <c r="G40" s="5"/>
      <c r="H40" s="5"/>
      <c r="I40" s="5"/>
      <c r="J40" s="5"/>
      <c r="K40" s="3">
        <f t="shared" si="2"/>
        <v>0</v>
      </c>
    </row>
    <row r="41" spans="2:11" x14ac:dyDescent="0.3">
      <c r="B41" s="3" t="str">
        <f>"D-"&amp;(C65-C41)</f>
        <v>D-237</v>
      </c>
      <c r="C41" s="4">
        <v>46150</v>
      </c>
      <c r="D41" s="3">
        <f t="shared" si="3"/>
        <v>6</v>
      </c>
      <c r="E41" s="3" t="str">
        <f t="shared" si="1"/>
        <v>금</v>
      </c>
      <c r="F41" s="5"/>
      <c r="G41" s="5"/>
      <c r="H41" s="5"/>
      <c r="I41" s="5"/>
      <c r="J41" s="5"/>
      <c r="K41" s="3">
        <f t="shared" si="2"/>
        <v>0</v>
      </c>
    </row>
    <row r="42" spans="2:11" x14ac:dyDescent="0.3">
      <c r="B42" s="3" t="str">
        <f>"D-"&amp;(C65-C42)</f>
        <v>D-236</v>
      </c>
      <c r="C42" s="4">
        <v>46151</v>
      </c>
      <c r="D42" s="3">
        <f t="shared" si="3"/>
        <v>7</v>
      </c>
      <c r="E42" s="3" t="str">
        <f t="shared" si="1"/>
        <v>토</v>
      </c>
      <c r="F42" s="5" t="s">
        <v>35</v>
      </c>
      <c r="G42" s="5"/>
      <c r="H42" s="5"/>
      <c r="I42" s="5"/>
      <c r="J42" s="5"/>
      <c r="K42" s="3">
        <f t="shared" si="2"/>
        <v>0</v>
      </c>
    </row>
    <row r="43" spans="2:11" x14ac:dyDescent="0.3">
      <c r="B43" s="3" t="str">
        <f>"D-"&amp;(C65-C43)</f>
        <v>D-235</v>
      </c>
      <c r="C43" s="4">
        <v>46152</v>
      </c>
      <c r="D43" s="3">
        <f t="shared" si="3"/>
        <v>1</v>
      </c>
      <c r="E43" s="3" t="str">
        <f t="shared" si="1"/>
        <v>일</v>
      </c>
      <c r="F43" s="5" t="s">
        <v>35</v>
      </c>
      <c r="G43" s="5"/>
      <c r="H43" s="5"/>
      <c r="I43" s="5"/>
      <c r="J43" s="5"/>
      <c r="K43" s="3">
        <f t="shared" si="2"/>
        <v>0</v>
      </c>
    </row>
    <row r="44" spans="2:11" x14ac:dyDescent="0.3">
      <c r="B44" s="3" t="str">
        <f>"D-"&amp;(C65-C44)</f>
        <v>D-234</v>
      </c>
      <c r="C44" s="4">
        <v>46153</v>
      </c>
      <c r="D44" s="3">
        <f t="shared" si="3"/>
        <v>2</v>
      </c>
      <c r="E44" s="3" t="str">
        <f t="shared" si="1"/>
        <v>월</v>
      </c>
      <c r="F44" s="5"/>
      <c r="G44" s="5"/>
      <c r="H44" s="5"/>
      <c r="I44" s="5"/>
      <c r="J44" s="5"/>
      <c r="K44" s="3">
        <f t="shared" si="2"/>
        <v>0</v>
      </c>
    </row>
    <row r="45" spans="2:11" x14ac:dyDescent="0.3">
      <c r="B45" s="3" t="str">
        <f>"D-"&amp;(C65-C45)</f>
        <v>D-233</v>
      </c>
      <c r="C45" s="4">
        <v>46154</v>
      </c>
      <c r="D45" s="3">
        <f t="shared" si="3"/>
        <v>3</v>
      </c>
      <c r="E45" s="3" t="str">
        <f t="shared" si="1"/>
        <v>화</v>
      </c>
      <c r="F45" s="5"/>
      <c r="G45" s="5"/>
      <c r="H45" s="5"/>
      <c r="I45" s="5"/>
      <c r="J45" s="5"/>
      <c r="K45" s="3">
        <f t="shared" si="2"/>
        <v>0</v>
      </c>
    </row>
    <row r="46" spans="2:11" x14ac:dyDescent="0.3">
      <c r="B46" s="3" t="str">
        <f>"D-"&amp;(C65-C46)</f>
        <v>D-232</v>
      </c>
      <c r="C46" s="4">
        <v>46155</v>
      </c>
      <c r="D46" s="3">
        <f t="shared" si="3"/>
        <v>4</v>
      </c>
      <c r="E46" s="3" t="str">
        <f t="shared" si="1"/>
        <v>수</v>
      </c>
      <c r="F46" s="5"/>
      <c r="G46" s="5"/>
      <c r="H46" s="5"/>
      <c r="I46" s="5"/>
      <c r="J46" s="5"/>
      <c r="K46" s="3">
        <f t="shared" si="2"/>
        <v>0</v>
      </c>
    </row>
    <row r="47" spans="2:11" x14ac:dyDescent="0.3">
      <c r="B47" s="3" t="str">
        <f>"D-"&amp;(C65-C47)</f>
        <v>D-231</v>
      </c>
      <c r="C47" s="4">
        <v>46156</v>
      </c>
      <c r="D47" s="3">
        <f t="shared" si="3"/>
        <v>5</v>
      </c>
      <c r="E47" s="3" t="str">
        <f t="shared" si="1"/>
        <v>목</v>
      </c>
      <c r="F47" s="5"/>
      <c r="G47" s="5"/>
      <c r="H47" s="5"/>
      <c r="I47" s="5"/>
      <c r="J47" s="5"/>
      <c r="K47" s="3">
        <f t="shared" si="2"/>
        <v>0</v>
      </c>
    </row>
    <row r="48" spans="2:11" x14ac:dyDescent="0.3">
      <c r="B48" s="3" t="str">
        <f>"D-"&amp;(C65-C48)</f>
        <v>D-230</v>
      </c>
      <c r="C48" s="4">
        <v>46157</v>
      </c>
      <c r="D48" s="3">
        <f t="shared" si="3"/>
        <v>6</v>
      </c>
      <c r="E48" s="3" t="str">
        <f t="shared" si="1"/>
        <v>금</v>
      </c>
      <c r="F48" s="5"/>
      <c r="G48" s="5"/>
      <c r="H48" s="5"/>
      <c r="I48" s="5"/>
      <c r="J48" s="5"/>
      <c r="K48" s="3">
        <f t="shared" si="2"/>
        <v>0</v>
      </c>
    </row>
    <row r="49" spans="2:11" x14ac:dyDescent="0.3">
      <c r="B49" s="3" t="str">
        <f>"D-"&amp;(C65-C49)</f>
        <v>D-229</v>
      </c>
      <c r="C49" s="4">
        <v>46158</v>
      </c>
      <c r="D49" s="3">
        <f t="shared" si="3"/>
        <v>7</v>
      </c>
      <c r="E49" s="3" t="str">
        <f t="shared" si="1"/>
        <v>토</v>
      </c>
      <c r="F49" s="5" t="s">
        <v>35</v>
      </c>
      <c r="G49" s="5"/>
      <c r="H49" s="5"/>
      <c r="I49" s="5"/>
      <c r="J49" s="5"/>
      <c r="K49" s="3">
        <f t="shared" si="2"/>
        <v>0</v>
      </c>
    </row>
    <row r="50" spans="2:11" x14ac:dyDescent="0.3">
      <c r="B50" s="3" t="str">
        <f>"D-"&amp;(C65-C50)</f>
        <v>D-228</v>
      </c>
      <c r="C50" s="4">
        <v>46159</v>
      </c>
      <c r="D50" s="3">
        <f t="shared" si="3"/>
        <v>1</v>
      </c>
      <c r="E50" s="3" t="str">
        <f t="shared" si="1"/>
        <v>일</v>
      </c>
      <c r="F50" s="5" t="s">
        <v>35</v>
      </c>
      <c r="G50" s="5"/>
      <c r="H50" s="5"/>
      <c r="I50" s="5"/>
      <c r="J50" s="5"/>
      <c r="K50" s="3">
        <f t="shared" si="2"/>
        <v>0</v>
      </c>
    </row>
    <row r="51" spans="2:11" x14ac:dyDescent="0.3">
      <c r="B51" s="3" t="str">
        <f>"D-"&amp;(C65-C51)</f>
        <v>D-227</v>
      </c>
      <c r="C51" s="4">
        <v>46160</v>
      </c>
      <c r="D51" s="3">
        <f t="shared" si="3"/>
        <v>2</v>
      </c>
      <c r="E51" s="3" t="str">
        <f t="shared" si="1"/>
        <v>월</v>
      </c>
      <c r="F51" s="5"/>
      <c r="G51" s="5"/>
      <c r="H51" s="5"/>
      <c r="I51" s="5"/>
      <c r="J51" s="5"/>
      <c r="K51" s="3">
        <f t="shared" si="2"/>
        <v>0</v>
      </c>
    </row>
    <row r="52" spans="2:11" x14ac:dyDescent="0.3">
      <c r="B52" s="3" t="str">
        <f>"D-"&amp;(C65-C52)</f>
        <v>D-226</v>
      </c>
      <c r="C52" s="4">
        <v>46161</v>
      </c>
      <c r="D52" s="3">
        <f t="shared" si="3"/>
        <v>3</v>
      </c>
      <c r="E52" s="3" t="str">
        <f t="shared" si="1"/>
        <v>화</v>
      </c>
      <c r="F52" s="5"/>
      <c r="G52" s="5"/>
      <c r="H52" s="5"/>
      <c r="I52" s="5"/>
      <c r="J52" s="5"/>
      <c r="K52" s="3">
        <f t="shared" si="2"/>
        <v>0</v>
      </c>
    </row>
    <row r="53" spans="2:11" x14ac:dyDescent="0.3">
      <c r="B53" s="3" t="str">
        <f>"D-"&amp;(C65-C53)</f>
        <v>D-225</v>
      </c>
      <c r="C53" s="4">
        <v>46162</v>
      </c>
      <c r="D53" s="3">
        <f t="shared" si="3"/>
        <v>4</v>
      </c>
      <c r="E53" s="3" t="str">
        <f t="shared" si="1"/>
        <v>수</v>
      </c>
      <c r="F53" s="5"/>
      <c r="G53" s="5"/>
      <c r="H53" s="5"/>
      <c r="I53" s="5"/>
      <c r="J53" s="5"/>
      <c r="K53" s="3">
        <f t="shared" si="2"/>
        <v>0</v>
      </c>
    </row>
    <row r="54" spans="2:11" x14ac:dyDescent="0.3">
      <c r="B54" s="3" t="str">
        <f>"D-"&amp;(C65-C54)</f>
        <v>D-224</v>
      </c>
      <c r="C54" s="4">
        <v>46163</v>
      </c>
      <c r="D54" s="3">
        <f t="shared" si="3"/>
        <v>5</v>
      </c>
      <c r="E54" s="3" t="str">
        <f t="shared" si="1"/>
        <v>목</v>
      </c>
      <c r="F54" s="5"/>
      <c r="G54" s="5"/>
      <c r="H54" s="5"/>
      <c r="I54" s="5"/>
      <c r="J54" s="5"/>
      <c r="K54" s="3">
        <f t="shared" si="2"/>
        <v>0</v>
      </c>
    </row>
    <row r="55" spans="2:11" x14ac:dyDescent="0.3">
      <c r="B55" s="3" t="str">
        <f>"D-"&amp;(C65-C55)</f>
        <v>D-223</v>
      </c>
      <c r="C55" s="4">
        <v>46164</v>
      </c>
      <c r="D55" s="3">
        <f t="shared" si="3"/>
        <v>6</v>
      </c>
      <c r="E55" s="3" t="str">
        <f t="shared" si="1"/>
        <v>금</v>
      </c>
      <c r="F55" s="5"/>
      <c r="G55" s="5"/>
      <c r="H55" s="5"/>
      <c r="I55" s="5"/>
      <c r="J55" s="5"/>
      <c r="K55" s="3">
        <f t="shared" si="2"/>
        <v>0</v>
      </c>
    </row>
    <row r="56" spans="2:11" x14ac:dyDescent="0.3">
      <c r="B56" s="3" t="str">
        <f>"D-"&amp;(C65-C56)</f>
        <v>D-222</v>
      </c>
      <c r="C56" s="4">
        <v>46165</v>
      </c>
      <c r="D56" s="3">
        <f t="shared" si="3"/>
        <v>7</v>
      </c>
      <c r="E56" s="3" t="str">
        <f t="shared" si="1"/>
        <v>토</v>
      </c>
      <c r="F56" s="5" t="s">
        <v>35</v>
      </c>
      <c r="G56" s="5"/>
      <c r="H56" s="5"/>
      <c r="I56" s="5"/>
      <c r="J56" s="5"/>
      <c r="K56" s="3">
        <f t="shared" si="2"/>
        <v>0</v>
      </c>
    </row>
    <row r="57" spans="2:11" x14ac:dyDescent="0.3">
      <c r="B57" s="3" t="str">
        <f>"D-"&amp;(C65-C57)</f>
        <v>D-221</v>
      </c>
      <c r="C57" s="4">
        <v>46166</v>
      </c>
      <c r="D57" s="3">
        <f t="shared" si="3"/>
        <v>1</v>
      </c>
      <c r="E57" s="3" t="str">
        <f t="shared" si="1"/>
        <v>일</v>
      </c>
      <c r="F57" s="5" t="s">
        <v>35</v>
      </c>
      <c r="G57" s="5"/>
      <c r="H57" s="5"/>
      <c r="I57" s="5"/>
      <c r="J57" s="5"/>
      <c r="K57" s="3">
        <f t="shared" si="2"/>
        <v>0</v>
      </c>
    </row>
    <row r="58" spans="2:11" x14ac:dyDescent="0.3">
      <c r="B58" s="3" t="str">
        <f>"D-"&amp;(C65-C58)</f>
        <v>D-220</v>
      </c>
      <c r="C58" s="4">
        <v>46167</v>
      </c>
      <c r="D58" s="3">
        <f t="shared" si="3"/>
        <v>2</v>
      </c>
      <c r="E58" s="3" t="str">
        <f t="shared" si="1"/>
        <v>월</v>
      </c>
      <c r="F58" s="5"/>
      <c r="G58" s="5"/>
      <c r="H58" s="5"/>
      <c r="I58" s="5"/>
      <c r="J58" s="5"/>
      <c r="K58" s="3">
        <f t="shared" si="2"/>
        <v>0</v>
      </c>
    </row>
    <row r="59" spans="2:11" x14ac:dyDescent="0.3">
      <c r="B59" s="3" t="str">
        <f>"D-"&amp;(C65-C59)</f>
        <v>D-219</v>
      </c>
      <c r="C59" s="4">
        <v>46168</v>
      </c>
      <c r="D59" s="3">
        <f t="shared" si="3"/>
        <v>3</v>
      </c>
      <c r="E59" s="3" t="str">
        <f t="shared" si="1"/>
        <v>화</v>
      </c>
      <c r="F59" s="5"/>
      <c r="G59" s="5"/>
      <c r="H59" s="5"/>
      <c r="I59" s="5"/>
      <c r="J59" s="5"/>
      <c r="K59" s="3">
        <f t="shared" si="2"/>
        <v>0</v>
      </c>
    </row>
    <row r="60" spans="2:11" x14ac:dyDescent="0.3">
      <c r="B60" s="3" t="str">
        <f>"D-"&amp;(C65-C60)</f>
        <v>D-218</v>
      </c>
      <c r="C60" s="4">
        <v>46169</v>
      </c>
      <c r="D60" s="3">
        <f t="shared" si="3"/>
        <v>4</v>
      </c>
      <c r="E60" s="3" t="str">
        <f t="shared" si="1"/>
        <v>수</v>
      </c>
      <c r="F60" s="5"/>
      <c r="G60" s="5"/>
      <c r="H60" s="5"/>
      <c r="I60" s="5"/>
      <c r="J60" s="5"/>
      <c r="K60" s="3">
        <f t="shared" si="2"/>
        <v>0</v>
      </c>
    </row>
    <row r="61" spans="2:11" x14ac:dyDescent="0.3">
      <c r="B61" s="3" t="str">
        <f>"D-"&amp;(C65-C61)</f>
        <v>D-217</v>
      </c>
      <c r="C61" s="4">
        <v>46170</v>
      </c>
      <c r="D61" s="3">
        <f t="shared" si="3"/>
        <v>5</v>
      </c>
      <c r="E61" s="3" t="str">
        <f t="shared" si="1"/>
        <v>목</v>
      </c>
      <c r="F61" s="5"/>
      <c r="G61" s="5"/>
      <c r="H61" s="5"/>
      <c r="I61" s="5"/>
      <c r="J61" s="5"/>
      <c r="K61" s="3">
        <f t="shared" si="2"/>
        <v>0</v>
      </c>
    </row>
    <row r="62" spans="2:11" x14ac:dyDescent="0.3">
      <c r="B62" s="3" t="str">
        <f>"D-"&amp;(C65-C62)</f>
        <v>D-216</v>
      </c>
      <c r="C62" s="4">
        <v>46171</v>
      </c>
      <c r="D62" s="3">
        <f t="shared" si="3"/>
        <v>6</v>
      </c>
      <c r="E62" s="3" t="str">
        <f t="shared" si="1"/>
        <v>금</v>
      </c>
      <c r="F62" s="5"/>
      <c r="G62" s="5"/>
      <c r="H62" s="5"/>
      <c r="I62" s="5"/>
      <c r="J62" s="5"/>
      <c r="K62" s="3">
        <f t="shared" si="2"/>
        <v>0</v>
      </c>
    </row>
    <row r="63" spans="2:11" x14ac:dyDescent="0.3">
      <c r="B63" s="3" t="str">
        <f>"D-"&amp;(C65-C63)</f>
        <v>D-215</v>
      </c>
      <c r="C63" s="4">
        <v>46172</v>
      </c>
      <c r="D63" s="3">
        <f t="shared" si="3"/>
        <v>7</v>
      </c>
      <c r="E63" s="3" t="str">
        <f t="shared" si="1"/>
        <v>토</v>
      </c>
      <c r="F63" s="5" t="s">
        <v>35</v>
      </c>
      <c r="G63" s="5"/>
      <c r="H63" s="5"/>
      <c r="I63" s="5"/>
      <c r="J63" s="5"/>
      <c r="K63" s="3">
        <f t="shared" si="2"/>
        <v>0</v>
      </c>
    </row>
    <row r="64" spans="2:11" x14ac:dyDescent="0.3">
      <c r="B64" s="3" t="str">
        <f>"D-"&amp;(C65-C64)</f>
        <v>D-214</v>
      </c>
      <c r="C64" s="4">
        <v>46173</v>
      </c>
      <c r="D64" s="3">
        <f t="shared" si="3"/>
        <v>1</v>
      </c>
      <c r="E64" s="3" t="str">
        <f t="shared" si="1"/>
        <v>일</v>
      </c>
      <c r="F64" s="5" t="s">
        <v>35</v>
      </c>
      <c r="G64" s="5"/>
      <c r="H64" s="5"/>
      <c r="I64" s="5"/>
      <c r="J64" s="5"/>
      <c r="K64" s="3">
        <f t="shared" si="2"/>
        <v>0</v>
      </c>
    </row>
    <row r="65" spans="2:11" x14ac:dyDescent="0.3">
      <c r="B65" s="3" t="s">
        <v>0</v>
      </c>
      <c r="C65" s="4">
        <v>46387</v>
      </c>
      <c r="D65" s="3">
        <f>WEEKDAY(C65)</f>
        <v>5</v>
      </c>
      <c r="E65" s="3" t="str">
        <f t="shared" si="1"/>
        <v>목</v>
      </c>
      <c r="F65" s="5"/>
      <c r="G65" s="5"/>
      <c r="H65" s="5"/>
      <c r="I65" s="5"/>
      <c r="J65" s="5" t="s">
        <v>11</v>
      </c>
      <c r="K65" s="3">
        <f>SUM(K2:K64)</f>
        <v>4</v>
      </c>
    </row>
  </sheetData>
  <autoFilter ref="B1:J65" xr:uid="{01249640-A658-496A-A939-A1FA3360D6BE}"/>
  <phoneticPr fontId="1" type="noConversion"/>
  <conditionalFormatting sqref="C1:C1048576">
    <cfRule type="expression" dxfId="0" priority="1">
      <formula>C1=TODAY()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BC6E-00C8-41F7-8E8A-E908430AA045}">
  <dimension ref="B1:C7"/>
  <sheetViews>
    <sheetView workbookViewId="0">
      <selection activeCell="B4" sqref="B4"/>
    </sheetView>
  </sheetViews>
  <sheetFormatPr defaultRowHeight="16.5" x14ac:dyDescent="0.3"/>
  <cols>
    <col min="1" max="1" width="1.875" customWidth="1"/>
    <col min="2" max="2" width="14.875" style="1" customWidth="1"/>
    <col min="3" max="3" width="19.375" style="1" customWidth="1"/>
  </cols>
  <sheetData>
    <row r="1" spans="2:3" ht="10.5" customHeight="1" x14ac:dyDescent="0.3"/>
    <row r="2" spans="2:3" x14ac:dyDescent="0.3">
      <c r="B2" s="1" t="s">
        <v>18</v>
      </c>
      <c r="C2" s="1" t="s">
        <v>19</v>
      </c>
    </row>
    <row r="3" spans="2:3" x14ac:dyDescent="0.3">
      <c r="B3" s="1" t="s">
        <v>20</v>
      </c>
      <c r="C3" s="1" t="s">
        <v>21</v>
      </c>
    </row>
    <row r="4" spans="2:3" x14ac:dyDescent="0.3">
      <c r="B4" s="1" t="s">
        <v>22</v>
      </c>
      <c r="C4" s="1" t="s">
        <v>23</v>
      </c>
    </row>
    <row r="5" spans="2:3" x14ac:dyDescent="0.3">
      <c r="B5" s="1" t="s">
        <v>24</v>
      </c>
      <c r="C5" s="1" t="s">
        <v>25</v>
      </c>
    </row>
    <row r="6" spans="2:3" x14ac:dyDescent="0.3">
      <c r="B6" s="1" t="s">
        <v>26</v>
      </c>
      <c r="C6" s="1">
        <v>9.2799999999999994</v>
      </c>
    </row>
    <row r="7" spans="2:3" x14ac:dyDescent="0.3">
      <c r="B7" s="1" t="s">
        <v>27</v>
      </c>
      <c r="C7" s="1" t="s">
        <v>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FE3B2-1F01-460A-BD45-D0131958E957}">
  <dimension ref="B1:X120"/>
  <sheetViews>
    <sheetView zoomScale="80" zoomScaleNormal="80" workbookViewId="0">
      <selection activeCell="D23" sqref="D23"/>
    </sheetView>
  </sheetViews>
  <sheetFormatPr defaultRowHeight="16.5" x14ac:dyDescent="0.3"/>
  <cols>
    <col min="4" max="5" width="17.25" bestFit="1" customWidth="1"/>
    <col min="21" max="22" width="17.25" bestFit="1" customWidth="1"/>
  </cols>
  <sheetData>
    <row r="1" spans="2:24" ht="17.25" thickBot="1" x14ac:dyDescent="0.35"/>
    <row r="2" spans="2:24" ht="17.25" thickBot="1" x14ac:dyDescent="0.35">
      <c r="B2" s="8" t="s">
        <v>58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10"/>
      <c r="S2" s="8" t="s">
        <v>68</v>
      </c>
      <c r="T2" s="9"/>
      <c r="U2" s="9"/>
      <c r="V2" s="9"/>
      <c r="W2" s="9"/>
      <c r="X2" s="10"/>
    </row>
    <row r="3" spans="2:24" ht="17.25" thickBot="1" x14ac:dyDescent="0.35">
      <c r="B3" s="11"/>
      <c r="C3" s="8" t="s">
        <v>59</v>
      </c>
      <c r="D3" s="9"/>
      <c r="E3" s="9"/>
      <c r="F3" s="10"/>
      <c r="G3" s="12"/>
      <c r="H3" s="12"/>
      <c r="I3" s="12"/>
      <c r="J3" s="12"/>
      <c r="K3" s="12"/>
      <c r="L3" s="22" t="s">
        <v>62</v>
      </c>
      <c r="M3" s="23"/>
      <c r="N3" s="13"/>
      <c r="S3" s="11"/>
      <c r="T3" s="8" t="s">
        <v>37</v>
      </c>
      <c r="U3" s="9"/>
      <c r="V3" s="9"/>
      <c r="W3" s="10"/>
      <c r="X3" s="13"/>
    </row>
    <row r="4" spans="2:24" ht="17.25" thickBot="1" x14ac:dyDescent="0.35">
      <c r="B4" s="11"/>
      <c r="C4" s="11"/>
      <c r="D4" s="17" t="s">
        <v>39</v>
      </c>
      <c r="E4" s="17" t="s">
        <v>40</v>
      </c>
      <c r="F4" s="13"/>
      <c r="G4" s="12"/>
      <c r="H4" s="12"/>
      <c r="I4" s="12"/>
      <c r="J4" s="12"/>
      <c r="K4" s="12"/>
      <c r="L4" s="24"/>
      <c r="M4" s="25"/>
      <c r="N4" s="13"/>
      <c r="S4" s="11"/>
      <c r="T4" s="11"/>
      <c r="U4" s="17" t="s">
        <v>39</v>
      </c>
      <c r="V4" s="20" t="s">
        <v>40</v>
      </c>
      <c r="W4" s="13"/>
      <c r="X4" s="13"/>
    </row>
    <row r="5" spans="2:24" ht="17.25" thickBot="1" x14ac:dyDescent="0.35">
      <c r="B5" s="11"/>
      <c r="C5" s="11"/>
      <c r="D5" s="17" t="s">
        <v>41</v>
      </c>
      <c r="E5" s="17" t="s">
        <v>42</v>
      </c>
      <c r="F5" s="13"/>
      <c r="G5" s="12"/>
      <c r="H5" s="12"/>
      <c r="I5" s="12"/>
      <c r="J5" s="12"/>
      <c r="K5" s="12"/>
      <c r="L5" s="12"/>
      <c r="M5" s="12"/>
      <c r="N5" s="13"/>
      <c r="S5" s="11"/>
      <c r="T5" s="11"/>
      <c r="U5" s="20" t="s">
        <v>41</v>
      </c>
      <c r="V5" s="20" t="s">
        <v>42</v>
      </c>
      <c r="W5" s="13"/>
      <c r="X5" s="13"/>
    </row>
    <row r="6" spans="2:24" ht="17.25" thickBot="1" x14ac:dyDescent="0.35">
      <c r="B6" s="11"/>
      <c r="C6" s="11"/>
      <c r="D6" s="17" t="s">
        <v>43</v>
      </c>
      <c r="E6" s="17" t="s">
        <v>44</v>
      </c>
      <c r="F6" s="13"/>
      <c r="G6" s="12"/>
      <c r="H6" s="12"/>
      <c r="I6" s="12"/>
      <c r="J6" s="12"/>
      <c r="K6" s="12"/>
      <c r="L6" s="22" t="s">
        <v>63</v>
      </c>
      <c r="M6" s="23"/>
      <c r="N6" s="13"/>
      <c r="S6" s="11"/>
      <c r="T6" s="11"/>
      <c r="U6" s="20" t="s">
        <v>43</v>
      </c>
      <c r="V6" s="20" t="s">
        <v>44</v>
      </c>
      <c r="W6" s="13"/>
      <c r="X6" s="13"/>
    </row>
    <row r="7" spans="2:24" ht="17.25" thickBot="1" x14ac:dyDescent="0.35">
      <c r="B7" s="11"/>
      <c r="C7" s="14"/>
      <c r="D7" s="15"/>
      <c r="E7" s="15"/>
      <c r="F7" s="16"/>
      <c r="G7" s="12"/>
      <c r="H7" s="12"/>
      <c r="I7" s="12"/>
      <c r="J7" s="12"/>
      <c r="K7" s="12"/>
      <c r="L7" s="24"/>
      <c r="M7" s="25"/>
      <c r="N7" s="13"/>
      <c r="S7" s="11"/>
      <c r="T7" s="14"/>
      <c r="U7" s="15"/>
      <c r="V7" s="15"/>
      <c r="W7" s="16"/>
      <c r="X7" s="13"/>
    </row>
    <row r="8" spans="2:24" ht="17.25" thickBot="1" x14ac:dyDescent="0.35"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/>
      <c r="S8" s="11"/>
      <c r="T8" s="12"/>
      <c r="U8" s="12"/>
      <c r="V8" s="12"/>
      <c r="W8" s="12"/>
      <c r="X8" s="13"/>
    </row>
    <row r="9" spans="2:24" ht="17.25" thickBot="1" x14ac:dyDescent="0.35">
      <c r="B9" s="11"/>
      <c r="C9" s="8" t="s">
        <v>60</v>
      </c>
      <c r="D9" s="9"/>
      <c r="E9" s="9"/>
      <c r="F9" s="10"/>
      <c r="G9" s="12"/>
      <c r="H9" s="12"/>
      <c r="I9" s="12"/>
      <c r="J9" s="12"/>
      <c r="K9" s="12"/>
      <c r="L9" s="22" t="s">
        <v>64</v>
      </c>
      <c r="M9" s="23"/>
      <c r="N9" s="13"/>
      <c r="S9" s="11"/>
      <c r="T9" s="8" t="s">
        <v>38</v>
      </c>
      <c r="U9" s="9"/>
      <c r="V9" s="9"/>
      <c r="W9" s="10"/>
      <c r="X9" s="13"/>
    </row>
    <row r="10" spans="2:24" ht="17.25" thickBot="1" x14ac:dyDescent="0.35">
      <c r="B10" s="11"/>
      <c r="C10" s="11"/>
      <c r="D10" s="18" t="s">
        <v>45</v>
      </c>
      <c r="E10" s="18" t="s">
        <v>46</v>
      </c>
      <c r="F10" s="13"/>
      <c r="G10" s="12"/>
      <c r="H10" s="12"/>
      <c r="I10" s="12"/>
      <c r="J10" s="12"/>
      <c r="K10" s="12"/>
      <c r="L10" s="24"/>
      <c r="M10" s="25"/>
      <c r="N10" s="13"/>
      <c r="S10" s="11"/>
      <c r="T10" s="11"/>
      <c r="U10" s="18" t="s">
        <v>45</v>
      </c>
      <c r="V10" s="20" t="s">
        <v>46</v>
      </c>
      <c r="W10" s="13"/>
      <c r="X10" s="13"/>
    </row>
    <row r="11" spans="2:24" ht="17.25" thickBot="1" x14ac:dyDescent="0.35">
      <c r="B11" s="11"/>
      <c r="C11" s="11"/>
      <c r="D11" s="18" t="s">
        <v>47</v>
      </c>
      <c r="E11" s="18" t="s">
        <v>48</v>
      </c>
      <c r="F11" s="13"/>
      <c r="G11" s="12"/>
      <c r="H11" s="12"/>
      <c r="I11" s="12"/>
      <c r="J11" s="12"/>
      <c r="K11" s="12"/>
      <c r="L11" s="12"/>
      <c r="M11" s="12"/>
      <c r="N11" s="13"/>
      <c r="S11" s="11"/>
      <c r="T11" s="11"/>
      <c r="U11" s="20" t="s">
        <v>47</v>
      </c>
      <c r="V11" s="20" t="s">
        <v>48</v>
      </c>
      <c r="W11" s="13"/>
      <c r="X11" s="13"/>
    </row>
    <row r="12" spans="2:24" ht="17.25" thickBot="1" x14ac:dyDescent="0.35">
      <c r="B12" s="11"/>
      <c r="C12" s="11"/>
      <c r="D12" s="18" t="s">
        <v>49</v>
      </c>
      <c r="E12" s="18" t="s">
        <v>55</v>
      </c>
      <c r="F12" s="13"/>
      <c r="G12" s="12"/>
      <c r="H12" s="12"/>
      <c r="I12" s="12"/>
      <c r="J12" s="12"/>
      <c r="K12" s="12"/>
      <c r="L12" s="22" t="s">
        <v>65</v>
      </c>
      <c r="M12" s="23"/>
      <c r="N12" s="13"/>
      <c r="S12" s="11"/>
      <c r="T12" s="11"/>
      <c r="U12" s="20" t="s">
        <v>49</v>
      </c>
      <c r="V12" s="20" t="s">
        <v>55</v>
      </c>
      <c r="W12" s="13"/>
      <c r="X12" s="13"/>
    </row>
    <row r="13" spans="2:24" ht="17.25" thickBot="1" x14ac:dyDescent="0.35">
      <c r="B13" s="11"/>
      <c r="C13" s="14"/>
      <c r="D13" s="15"/>
      <c r="E13" s="15"/>
      <c r="F13" s="16"/>
      <c r="G13" s="12"/>
      <c r="H13" s="12"/>
      <c r="I13" s="12"/>
      <c r="J13" s="12"/>
      <c r="K13" s="12"/>
      <c r="L13" s="24"/>
      <c r="M13" s="25"/>
      <c r="N13" s="13"/>
      <c r="S13" s="11"/>
      <c r="T13" s="14"/>
      <c r="U13" s="15"/>
      <c r="V13" s="15"/>
      <c r="W13" s="16"/>
      <c r="X13" s="13"/>
    </row>
    <row r="14" spans="2:24" ht="17.25" thickBot="1" x14ac:dyDescent="0.35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  <c r="S14" s="11"/>
      <c r="T14" s="12"/>
      <c r="U14" s="12"/>
      <c r="V14" s="12"/>
      <c r="W14" s="12"/>
      <c r="X14" s="13"/>
    </row>
    <row r="15" spans="2:24" ht="17.25" thickBot="1" x14ac:dyDescent="0.35">
      <c r="B15" s="11"/>
      <c r="C15" s="8" t="s">
        <v>61</v>
      </c>
      <c r="D15" s="19"/>
      <c r="E15" s="9"/>
      <c r="F15" s="10"/>
      <c r="G15" s="12"/>
      <c r="H15" s="12"/>
      <c r="I15" s="12"/>
      <c r="J15" s="12"/>
      <c r="K15" s="12"/>
      <c r="L15" s="22" t="s">
        <v>66</v>
      </c>
      <c r="M15" s="23"/>
      <c r="N15" s="13"/>
      <c r="S15" s="11"/>
      <c r="T15" s="8" t="s">
        <v>57</v>
      </c>
      <c r="U15" s="19"/>
      <c r="V15" s="9"/>
      <c r="W15" s="10"/>
      <c r="X15" s="13"/>
    </row>
    <row r="16" spans="2:24" ht="17.25" thickBot="1" x14ac:dyDescent="0.35">
      <c r="B16" s="11"/>
      <c r="C16" s="11"/>
      <c r="D16" s="17" t="s">
        <v>50</v>
      </c>
      <c r="E16" s="17" t="s">
        <v>51</v>
      </c>
      <c r="F16" s="13"/>
      <c r="G16" s="12"/>
      <c r="H16" s="12"/>
      <c r="I16" s="12"/>
      <c r="J16" s="12"/>
      <c r="K16" s="12"/>
      <c r="L16" s="24"/>
      <c r="M16" s="25"/>
      <c r="N16" s="13"/>
      <c r="S16" s="11"/>
      <c r="T16" s="11"/>
      <c r="U16" s="17" t="s">
        <v>50</v>
      </c>
      <c r="V16" s="20" t="s">
        <v>51</v>
      </c>
      <c r="W16" s="13"/>
      <c r="X16" s="13"/>
    </row>
    <row r="17" spans="2:24" ht="17.25" thickBot="1" x14ac:dyDescent="0.35">
      <c r="B17" s="11"/>
      <c r="C17" s="11"/>
      <c r="D17" s="17" t="s">
        <v>52</v>
      </c>
      <c r="E17" s="17" t="s">
        <v>53</v>
      </c>
      <c r="F17" s="13"/>
      <c r="G17" s="12"/>
      <c r="H17" s="12"/>
      <c r="I17" s="12"/>
      <c r="J17" s="12"/>
      <c r="K17" s="12"/>
      <c r="L17" s="12"/>
      <c r="M17" s="12"/>
      <c r="N17" s="13"/>
      <c r="S17" s="11"/>
      <c r="T17" s="11"/>
      <c r="U17" s="20" t="s">
        <v>52</v>
      </c>
      <c r="V17" s="20" t="s">
        <v>53</v>
      </c>
      <c r="W17" s="13"/>
      <c r="X17" s="13"/>
    </row>
    <row r="18" spans="2:24" ht="17.25" thickBot="1" x14ac:dyDescent="0.35">
      <c r="B18" s="11"/>
      <c r="C18" s="11"/>
      <c r="D18" s="17" t="s">
        <v>54</v>
      </c>
      <c r="E18" s="17" t="s">
        <v>56</v>
      </c>
      <c r="F18" s="13"/>
      <c r="G18" s="12"/>
      <c r="H18" s="12"/>
      <c r="I18" s="12"/>
      <c r="J18" s="12"/>
      <c r="K18" s="12"/>
      <c r="L18" s="22" t="s">
        <v>67</v>
      </c>
      <c r="M18" s="23"/>
      <c r="N18" s="13"/>
      <c r="S18" s="11"/>
      <c r="T18" s="11"/>
      <c r="U18" s="20" t="s">
        <v>54</v>
      </c>
      <c r="V18" s="20" t="s">
        <v>56</v>
      </c>
      <c r="W18" s="13"/>
      <c r="X18" s="13"/>
    </row>
    <row r="19" spans="2:24" ht="17.25" thickBot="1" x14ac:dyDescent="0.35">
      <c r="B19" s="11"/>
      <c r="C19" s="14"/>
      <c r="D19" s="15"/>
      <c r="E19" s="15"/>
      <c r="F19" s="16"/>
      <c r="G19" s="12"/>
      <c r="H19" s="12"/>
      <c r="I19" s="12"/>
      <c r="J19" s="12"/>
      <c r="K19" s="12"/>
      <c r="L19" s="24"/>
      <c r="M19" s="25"/>
      <c r="N19" s="13"/>
      <c r="S19" s="11"/>
      <c r="T19" s="14"/>
      <c r="U19" s="15"/>
      <c r="V19" s="15"/>
      <c r="W19" s="16"/>
      <c r="X19" s="13"/>
    </row>
    <row r="20" spans="2:24" ht="17.25" thickBot="1" x14ac:dyDescent="0.35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6"/>
      <c r="S20" s="14"/>
      <c r="T20" s="15"/>
      <c r="U20" s="15"/>
      <c r="V20" s="15"/>
      <c r="W20" s="15"/>
      <c r="X20" s="16"/>
    </row>
    <row r="21" spans="2:24" ht="17.25" thickBot="1" x14ac:dyDescent="0.35"/>
    <row r="22" spans="2:24" ht="17.25" thickBot="1" x14ac:dyDescent="0.35">
      <c r="S22" s="8" t="s">
        <v>69</v>
      </c>
      <c r="T22" s="9"/>
      <c r="U22" s="9"/>
      <c r="V22" s="9"/>
      <c r="W22" s="9"/>
      <c r="X22" s="10"/>
    </row>
    <row r="23" spans="2:24" ht="17.25" thickBot="1" x14ac:dyDescent="0.35">
      <c r="S23" s="11"/>
      <c r="T23" s="8" t="s">
        <v>37</v>
      </c>
      <c r="U23" s="9"/>
      <c r="V23" s="9"/>
      <c r="W23" s="10"/>
      <c r="X23" s="13"/>
    </row>
    <row r="24" spans="2:24" ht="17.25" thickBot="1" x14ac:dyDescent="0.35">
      <c r="S24" s="11"/>
      <c r="T24" s="11"/>
      <c r="U24" s="20" t="s">
        <v>39</v>
      </c>
      <c r="V24" s="17" t="s">
        <v>40</v>
      </c>
      <c r="W24" s="13"/>
      <c r="X24" s="13"/>
    </row>
    <row r="25" spans="2:24" ht="17.25" thickBot="1" x14ac:dyDescent="0.35">
      <c r="S25" s="11"/>
      <c r="T25" s="11"/>
      <c r="U25" s="20" t="s">
        <v>41</v>
      </c>
      <c r="V25" s="20" t="s">
        <v>42</v>
      </c>
      <c r="W25" s="13"/>
      <c r="X25" s="13"/>
    </row>
    <row r="26" spans="2:24" ht="17.25" thickBot="1" x14ac:dyDescent="0.35">
      <c r="S26" s="11"/>
      <c r="T26" s="11"/>
      <c r="U26" s="20" t="s">
        <v>43</v>
      </c>
      <c r="V26" s="20" t="s">
        <v>44</v>
      </c>
      <c r="W26" s="13"/>
      <c r="X26" s="13"/>
    </row>
    <row r="27" spans="2:24" ht="17.25" thickBot="1" x14ac:dyDescent="0.35">
      <c r="S27" s="11"/>
      <c r="T27" s="14"/>
      <c r="U27" s="15"/>
      <c r="V27" s="15"/>
      <c r="W27" s="16"/>
      <c r="X27" s="13"/>
    </row>
    <row r="28" spans="2:24" ht="17.25" thickBot="1" x14ac:dyDescent="0.35">
      <c r="S28" s="11"/>
      <c r="T28" s="12"/>
      <c r="U28" s="12"/>
      <c r="V28" s="12"/>
      <c r="W28" s="12"/>
      <c r="X28" s="13"/>
    </row>
    <row r="29" spans="2:24" ht="17.25" thickBot="1" x14ac:dyDescent="0.35">
      <c r="S29" s="11"/>
      <c r="T29" s="8" t="s">
        <v>38</v>
      </c>
      <c r="U29" s="9"/>
      <c r="V29" s="9"/>
      <c r="W29" s="10"/>
      <c r="X29" s="13"/>
    </row>
    <row r="30" spans="2:24" ht="17.25" thickBot="1" x14ac:dyDescent="0.35">
      <c r="S30" s="11"/>
      <c r="T30" s="11"/>
      <c r="U30" s="20" t="s">
        <v>45</v>
      </c>
      <c r="V30" s="18" t="s">
        <v>46</v>
      </c>
      <c r="W30" s="13"/>
      <c r="X30" s="13"/>
    </row>
    <row r="31" spans="2:24" ht="17.25" thickBot="1" x14ac:dyDescent="0.35">
      <c r="S31" s="11"/>
      <c r="T31" s="11"/>
      <c r="U31" s="20" t="s">
        <v>47</v>
      </c>
      <c r="V31" s="20" t="s">
        <v>48</v>
      </c>
      <c r="W31" s="13"/>
      <c r="X31" s="13"/>
    </row>
    <row r="32" spans="2:24" ht="17.25" thickBot="1" x14ac:dyDescent="0.35">
      <c r="S32" s="11"/>
      <c r="T32" s="11"/>
      <c r="U32" s="20" t="s">
        <v>49</v>
      </c>
      <c r="V32" s="20" t="s">
        <v>55</v>
      </c>
      <c r="W32" s="13"/>
      <c r="X32" s="13"/>
    </row>
    <row r="33" spans="19:24" ht="17.25" thickBot="1" x14ac:dyDescent="0.35">
      <c r="S33" s="11"/>
      <c r="T33" s="14"/>
      <c r="U33" s="15"/>
      <c r="V33" s="15"/>
      <c r="W33" s="16"/>
      <c r="X33" s="13"/>
    </row>
    <row r="34" spans="19:24" ht="17.25" thickBot="1" x14ac:dyDescent="0.35">
      <c r="S34" s="11"/>
      <c r="T34" s="12"/>
      <c r="U34" s="12"/>
      <c r="V34" s="12"/>
      <c r="W34" s="12"/>
      <c r="X34" s="13"/>
    </row>
    <row r="35" spans="19:24" ht="17.25" thickBot="1" x14ac:dyDescent="0.35">
      <c r="S35" s="11"/>
      <c r="T35" s="8" t="s">
        <v>57</v>
      </c>
      <c r="U35" s="19"/>
      <c r="V35" s="9"/>
      <c r="W35" s="10"/>
      <c r="X35" s="13"/>
    </row>
    <row r="36" spans="19:24" ht="17.25" thickBot="1" x14ac:dyDescent="0.35">
      <c r="S36" s="11"/>
      <c r="T36" s="11"/>
      <c r="U36" s="20" t="s">
        <v>50</v>
      </c>
      <c r="V36" s="17" t="s">
        <v>51</v>
      </c>
      <c r="W36" s="13"/>
      <c r="X36" s="13"/>
    </row>
    <row r="37" spans="19:24" ht="17.25" thickBot="1" x14ac:dyDescent="0.35">
      <c r="S37" s="11"/>
      <c r="T37" s="11"/>
      <c r="U37" s="20" t="s">
        <v>52</v>
      </c>
      <c r="V37" s="20" t="s">
        <v>53</v>
      </c>
      <c r="W37" s="13"/>
      <c r="X37" s="13"/>
    </row>
    <row r="38" spans="19:24" ht="17.25" thickBot="1" x14ac:dyDescent="0.35">
      <c r="S38" s="11"/>
      <c r="T38" s="11"/>
      <c r="U38" s="20" t="s">
        <v>54</v>
      </c>
      <c r="V38" s="20" t="s">
        <v>56</v>
      </c>
      <c r="W38" s="13"/>
      <c r="X38" s="13"/>
    </row>
    <row r="39" spans="19:24" ht="17.25" thickBot="1" x14ac:dyDescent="0.35">
      <c r="S39" s="11"/>
      <c r="T39" s="14"/>
      <c r="U39" s="15"/>
      <c r="V39" s="15"/>
      <c r="W39" s="16"/>
      <c r="X39" s="13"/>
    </row>
    <row r="40" spans="19:24" ht="17.25" thickBot="1" x14ac:dyDescent="0.35">
      <c r="S40" s="14"/>
      <c r="T40" s="15"/>
      <c r="U40" s="15"/>
      <c r="V40" s="15"/>
      <c r="W40" s="15"/>
      <c r="X40" s="16"/>
    </row>
    <row r="41" spans="19:24" ht="17.25" thickBot="1" x14ac:dyDescent="0.35"/>
    <row r="42" spans="19:24" ht="17.25" thickBot="1" x14ac:dyDescent="0.35">
      <c r="S42" s="8" t="s">
        <v>70</v>
      </c>
      <c r="T42" s="9"/>
      <c r="U42" s="9"/>
      <c r="V42" s="9"/>
      <c r="W42" s="9"/>
      <c r="X42" s="10"/>
    </row>
    <row r="43" spans="19:24" ht="17.25" thickBot="1" x14ac:dyDescent="0.35">
      <c r="S43" s="11"/>
      <c r="T43" s="8" t="s">
        <v>37</v>
      </c>
      <c r="U43" s="9"/>
      <c r="V43" s="9"/>
      <c r="W43" s="10"/>
      <c r="X43" s="13"/>
    </row>
    <row r="44" spans="19:24" ht="17.25" thickBot="1" x14ac:dyDescent="0.35">
      <c r="S44" s="11"/>
      <c r="T44" s="11"/>
      <c r="U44" s="20" t="s">
        <v>39</v>
      </c>
      <c r="V44" s="20" t="s">
        <v>40</v>
      </c>
      <c r="W44" s="13"/>
      <c r="X44" s="13"/>
    </row>
    <row r="45" spans="19:24" ht="17.25" thickBot="1" x14ac:dyDescent="0.35">
      <c r="S45" s="11"/>
      <c r="T45" s="11"/>
      <c r="U45" s="21" t="s">
        <v>41</v>
      </c>
      <c r="V45" s="20" t="s">
        <v>42</v>
      </c>
      <c r="W45" s="13"/>
      <c r="X45" s="13"/>
    </row>
    <row r="46" spans="19:24" ht="17.25" thickBot="1" x14ac:dyDescent="0.35">
      <c r="S46" s="11"/>
      <c r="T46" s="11"/>
      <c r="U46" s="20" t="s">
        <v>43</v>
      </c>
      <c r="V46" s="20" t="s">
        <v>44</v>
      </c>
      <c r="W46" s="13"/>
      <c r="X46" s="13"/>
    </row>
    <row r="47" spans="19:24" ht="17.25" thickBot="1" x14ac:dyDescent="0.35">
      <c r="S47" s="11"/>
      <c r="T47" s="14"/>
      <c r="U47" s="15"/>
      <c r="V47" s="15"/>
      <c r="W47" s="16"/>
      <c r="X47" s="13"/>
    </row>
    <row r="48" spans="19:24" ht="17.25" thickBot="1" x14ac:dyDescent="0.35">
      <c r="S48" s="11"/>
      <c r="T48" s="12"/>
      <c r="U48" s="12"/>
      <c r="V48" s="12"/>
      <c r="W48" s="12"/>
      <c r="X48" s="13"/>
    </row>
    <row r="49" spans="19:24" ht="17.25" thickBot="1" x14ac:dyDescent="0.35">
      <c r="S49" s="11"/>
      <c r="T49" s="8" t="s">
        <v>38</v>
      </c>
      <c r="U49" s="9"/>
      <c r="V49" s="9"/>
      <c r="W49" s="10"/>
      <c r="X49" s="13"/>
    </row>
    <row r="50" spans="19:24" ht="17.25" thickBot="1" x14ac:dyDescent="0.35">
      <c r="S50" s="11"/>
      <c r="T50" s="11"/>
      <c r="U50" s="20" t="s">
        <v>45</v>
      </c>
      <c r="V50" s="20" t="s">
        <v>46</v>
      </c>
      <c r="W50" s="13"/>
      <c r="X50" s="13"/>
    </row>
    <row r="51" spans="19:24" ht="17.25" thickBot="1" x14ac:dyDescent="0.35">
      <c r="S51" s="11"/>
      <c r="T51" s="11"/>
      <c r="U51" s="21" t="s">
        <v>47</v>
      </c>
      <c r="V51" s="20" t="s">
        <v>48</v>
      </c>
      <c r="W51" s="13"/>
      <c r="X51" s="13"/>
    </row>
    <row r="52" spans="19:24" ht="17.25" thickBot="1" x14ac:dyDescent="0.35">
      <c r="S52" s="11"/>
      <c r="T52" s="11"/>
      <c r="U52" s="20" t="s">
        <v>49</v>
      </c>
      <c r="V52" s="20" t="s">
        <v>55</v>
      </c>
      <c r="W52" s="13"/>
      <c r="X52" s="13"/>
    </row>
    <row r="53" spans="19:24" ht="17.25" thickBot="1" x14ac:dyDescent="0.35">
      <c r="S53" s="11"/>
      <c r="T53" s="14"/>
      <c r="U53" s="15"/>
      <c r="V53" s="15"/>
      <c r="W53" s="16"/>
      <c r="X53" s="13"/>
    </row>
    <row r="54" spans="19:24" ht="17.25" thickBot="1" x14ac:dyDescent="0.35">
      <c r="S54" s="11"/>
      <c r="T54" s="12"/>
      <c r="U54" s="12"/>
      <c r="V54" s="12"/>
      <c r="W54" s="12"/>
      <c r="X54" s="13"/>
    </row>
    <row r="55" spans="19:24" ht="17.25" thickBot="1" x14ac:dyDescent="0.35">
      <c r="S55" s="11"/>
      <c r="T55" s="8" t="s">
        <v>57</v>
      </c>
      <c r="U55" s="19"/>
      <c r="V55" s="9"/>
      <c r="W55" s="10"/>
      <c r="X55" s="13"/>
    </row>
    <row r="56" spans="19:24" ht="17.25" thickBot="1" x14ac:dyDescent="0.35">
      <c r="S56" s="11"/>
      <c r="T56" s="11"/>
      <c r="U56" s="20" t="s">
        <v>50</v>
      </c>
      <c r="V56" s="20" t="s">
        <v>51</v>
      </c>
      <c r="W56" s="13"/>
      <c r="X56" s="13"/>
    </row>
    <row r="57" spans="19:24" ht="17.25" thickBot="1" x14ac:dyDescent="0.35">
      <c r="S57" s="11"/>
      <c r="T57" s="11"/>
      <c r="U57" s="21" t="s">
        <v>52</v>
      </c>
      <c r="V57" s="20" t="s">
        <v>53</v>
      </c>
      <c r="W57" s="13"/>
      <c r="X57" s="13"/>
    </row>
    <row r="58" spans="19:24" ht="17.25" thickBot="1" x14ac:dyDescent="0.35">
      <c r="S58" s="11"/>
      <c r="T58" s="11"/>
      <c r="U58" s="20" t="s">
        <v>54</v>
      </c>
      <c r="V58" s="20" t="s">
        <v>56</v>
      </c>
      <c r="W58" s="13"/>
      <c r="X58" s="13"/>
    </row>
    <row r="59" spans="19:24" ht="17.25" thickBot="1" x14ac:dyDescent="0.35">
      <c r="S59" s="11"/>
      <c r="T59" s="14"/>
      <c r="U59" s="15"/>
      <c r="V59" s="15"/>
      <c r="W59" s="16"/>
      <c r="X59" s="13"/>
    </row>
    <row r="60" spans="19:24" ht="17.25" thickBot="1" x14ac:dyDescent="0.35">
      <c r="S60" s="14"/>
      <c r="T60" s="15"/>
      <c r="U60" s="15"/>
      <c r="V60" s="15"/>
      <c r="W60" s="15"/>
      <c r="X60" s="16"/>
    </row>
    <row r="61" spans="19:24" ht="17.25" thickBot="1" x14ac:dyDescent="0.35"/>
    <row r="62" spans="19:24" ht="17.25" thickBot="1" x14ac:dyDescent="0.35">
      <c r="S62" s="8" t="s">
        <v>71</v>
      </c>
      <c r="T62" s="9"/>
      <c r="U62" s="9"/>
      <c r="V62" s="9"/>
      <c r="W62" s="9"/>
      <c r="X62" s="10"/>
    </row>
    <row r="63" spans="19:24" ht="17.25" thickBot="1" x14ac:dyDescent="0.35">
      <c r="S63" s="11"/>
      <c r="T63" s="8" t="s">
        <v>37</v>
      </c>
      <c r="U63" s="9"/>
      <c r="V63" s="9"/>
      <c r="W63" s="10"/>
      <c r="X63" s="13"/>
    </row>
    <row r="64" spans="19:24" ht="17.25" thickBot="1" x14ac:dyDescent="0.35">
      <c r="S64" s="11"/>
      <c r="T64" s="11"/>
      <c r="U64" s="20" t="s">
        <v>39</v>
      </c>
      <c r="V64" s="20" t="s">
        <v>40</v>
      </c>
      <c r="W64" s="13"/>
      <c r="X64" s="13"/>
    </row>
    <row r="65" spans="19:24" ht="17.25" thickBot="1" x14ac:dyDescent="0.35">
      <c r="S65" s="11"/>
      <c r="T65" s="11"/>
      <c r="U65" s="20" t="s">
        <v>41</v>
      </c>
      <c r="V65" s="21" t="s">
        <v>42</v>
      </c>
      <c r="W65" s="13"/>
      <c r="X65" s="13"/>
    </row>
    <row r="66" spans="19:24" ht="17.25" thickBot="1" x14ac:dyDescent="0.35">
      <c r="S66" s="11"/>
      <c r="T66" s="11"/>
      <c r="U66" s="20" t="s">
        <v>43</v>
      </c>
      <c r="V66" s="20" t="s">
        <v>44</v>
      </c>
      <c r="W66" s="13"/>
      <c r="X66" s="13"/>
    </row>
    <row r="67" spans="19:24" ht="17.25" thickBot="1" x14ac:dyDescent="0.35">
      <c r="S67" s="11"/>
      <c r="T67" s="14"/>
      <c r="U67" s="15"/>
      <c r="V67" s="15"/>
      <c r="W67" s="16"/>
      <c r="X67" s="13"/>
    </row>
    <row r="68" spans="19:24" ht="17.25" thickBot="1" x14ac:dyDescent="0.35">
      <c r="S68" s="11"/>
      <c r="T68" s="12"/>
      <c r="U68" s="12"/>
      <c r="V68" s="12"/>
      <c r="W68" s="12"/>
      <c r="X68" s="13"/>
    </row>
    <row r="69" spans="19:24" ht="17.25" thickBot="1" x14ac:dyDescent="0.35">
      <c r="S69" s="11"/>
      <c r="T69" s="8" t="s">
        <v>38</v>
      </c>
      <c r="U69" s="9"/>
      <c r="V69" s="9"/>
      <c r="W69" s="10"/>
      <c r="X69" s="13"/>
    </row>
    <row r="70" spans="19:24" ht="17.25" thickBot="1" x14ac:dyDescent="0.35">
      <c r="S70" s="11"/>
      <c r="T70" s="11"/>
      <c r="U70" s="20" t="s">
        <v>45</v>
      </c>
      <c r="V70" s="20" t="s">
        <v>46</v>
      </c>
      <c r="W70" s="13"/>
      <c r="X70" s="13"/>
    </row>
    <row r="71" spans="19:24" ht="17.25" thickBot="1" x14ac:dyDescent="0.35">
      <c r="S71" s="11"/>
      <c r="T71" s="11"/>
      <c r="U71" s="20" t="s">
        <v>47</v>
      </c>
      <c r="V71" s="21" t="s">
        <v>48</v>
      </c>
      <c r="W71" s="13"/>
      <c r="X71" s="13"/>
    </row>
    <row r="72" spans="19:24" ht="17.25" thickBot="1" x14ac:dyDescent="0.35">
      <c r="S72" s="11"/>
      <c r="T72" s="11"/>
      <c r="U72" s="20" t="s">
        <v>49</v>
      </c>
      <c r="V72" s="20" t="s">
        <v>55</v>
      </c>
      <c r="W72" s="13"/>
      <c r="X72" s="13"/>
    </row>
    <row r="73" spans="19:24" ht="17.25" thickBot="1" x14ac:dyDescent="0.35">
      <c r="S73" s="11"/>
      <c r="T73" s="14"/>
      <c r="U73" s="15"/>
      <c r="V73" s="15"/>
      <c r="W73" s="16"/>
      <c r="X73" s="13"/>
    </row>
    <row r="74" spans="19:24" ht="17.25" thickBot="1" x14ac:dyDescent="0.35">
      <c r="S74" s="11"/>
      <c r="T74" s="12"/>
      <c r="U74" s="12"/>
      <c r="V74" s="12"/>
      <c r="W74" s="12"/>
      <c r="X74" s="13"/>
    </row>
    <row r="75" spans="19:24" ht="17.25" thickBot="1" x14ac:dyDescent="0.35">
      <c r="S75" s="11"/>
      <c r="T75" s="8" t="s">
        <v>57</v>
      </c>
      <c r="U75" s="19"/>
      <c r="V75" s="9"/>
      <c r="W75" s="10"/>
      <c r="X75" s="13"/>
    </row>
    <row r="76" spans="19:24" ht="17.25" thickBot="1" x14ac:dyDescent="0.35">
      <c r="S76" s="11"/>
      <c r="T76" s="11"/>
      <c r="U76" s="20" t="s">
        <v>50</v>
      </c>
      <c r="V76" s="20" t="s">
        <v>51</v>
      </c>
      <c r="W76" s="13"/>
      <c r="X76" s="13"/>
    </row>
    <row r="77" spans="19:24" ht="17.25" thickBot="1" x14ac:dyDescent="0.35">
      <c r="S77" s="11"/>
      <c r="T77" s="11"/>
      <c r="U77" s="20" t="s">
        <v>52</v>
      </c>
      <c r="V77" s="21" t="s">
        <v>53</v>
      </c>
      <c r="W77" s="13"/>
      <c r="X77" s="13"/>
    </row>
    <row r="78" spans="19:24" ht="17.25" thickBot="1" x14ac:dyDescent="0.35">
      <c r="S78" s="11"/>
      <c r="T78" s="11"/>
      <c r="U78" s="20" t="s">
        <v>54</v>
      </c>
      <c r="V78" s="20" t="s">
        <v>56</v>
      </c>
      <c r="W78" s="13"/>
      <c r="X78" s="13"/>
    </row>
    <row r="79" spans="19:24" ht="17.25" thickBot="1" x14ac:dyDescent="0.35">
      <c r="S79" s="11"/>
      <c r="T79" s="14"/>
      <c r="U79" s="15"/>
      <c r="V79" s="15"/>
      <c r="W79" s="16"/>
      <c r="X79" s="13"/>
    </row>
    <row r="80" spans="19:24" ht="17.25" thickBot="1" x14ac:dyDescent="0.35">
      <c r="S80" s="14"/>
      <c r="T80" s="15"/>
      <c r="U80" s="15"/>
      <c r="V80" s="15"/>
      <c r="W80" s="15"/>
      <c r="X80" s="16"/>
    </row>
    <row r="81" spans="19:24" ht="17.25" thickBot="1" x14ac:dyDescent="0.35"/>
    <row r="82" spans="19:24" ht="17.25" thickBot="1" x14ac:dyDescent="0.35">
      <c r="S82" s="8" t="s">
        <v>72</v>
      </c>
      <c r="T82" s="9"/>
      <c r="U82" s="9"/>
      <c r="V82" s="9"/>
      <c r="W82" s="9"/>
      <c r="X82" s="10"/>
    </row>
    <row r="83" spans="19:24" ht="17.25" thickBot="1" x14ac:dyDescent="0.35">
      <c r="S83" s="11"/>
      <c r="T83" s="8" t="s">
        <v>37</v>
      </c>
      <c r="U83" s="9"/>
      <c r="V83" s="9"/>
      <c r="W83" s="10"/>
      <c r="X83" s="13"/>
    </row>
    <row r="84" spans="19:24" ht="17.25" thickBot="1" x14ac:dyDescent="0.35">
      <c r="S84" s="11"/>
      <c r="T84" s="11"/>
      <c r="U84" s="20" t="s">
        <v>39</v>
      </c>
      <c r="V84" s="20" t="s">
        <v>40</v>
      </c>
      <c r="W84" s="13"/>
      <c r="X84" s="13"/>
    </row>
    <row r="85" spans="19:24" ht="17.25" thickBot="1" x14ac:dyDescent="0.35">
      <c r="S85" s="11"/>
      <c r="T85" s="11"/>
      <c r="U85" s="20" t="s">
        <v>41</v>
      </c>
      <c r="V85" s="20" t="s">
        <v>42</v>
      </c>
      <c r="W85" s="13"/>
      <c r="X85" s="13"/>
    </row>
    <row r="86" spans="19:24" ht="17.25" thickBot="1" x14ac:dyDescent="0.35">
      <c r="S86" s="11"/>
      <c r="T86" s="11"/>
      <c r="U86" s="21" t="s">
        <v>43</v>
      </c>
      <c r="V86" s="20" t="s">
        <v>44</v>
      </c>
      <c r="W86" s="13"/>
      <c r="X86" s="13"/>
    </row>
    <row r="87" spans="19:24" ht="17.25" thickBot="1" x14ac:dyDescent="0.35">
      <c r="S87" s="11"/>
      <c r="T87" s="14"/>
      <c r="U87" s="15"/>
      <c r="V87" s="15"/>
      <c r="W87" s="16"/>
      <c r="X87" s="13"/>
    </row>
    <row r="88" spans="19:24" ht="17.25" thickBot="1" x14ac:dyDescent="0.35">
      <c r="S88" s="11"/>
      <c r="T88" s="12"/>
      <c r="U88" s="12"/>
      <c r="V88" s="12"/>
      <c r="W88" s="12"/>
      <c r="X88" s="13"/>
    </row>
    <row r="89" spans="19:24" ht="17.25" thickBot="1" x14ac:dyDescent="0.35">
      <c r="S89" s="11"/>
      <c r="T89" s="8" t="s">
        <v>38</v>
      </c>
      <c r="U89" s="9"/>
      <c r="V89" s="9"/>
      <c r="W89" s="10"/>
      <c r="X89" s="13"/>
    </row>
    <row r="90" spans="19:24" ht="17.25" thickBot="1" x14ac:dyDescent="0.35">
      <c r="S90" s="11"/>
      <c r="T90" s="11"/>
      <c r="U90" s="20" t="s">
        <v>45</v>
      </c>
      <c r="V90" s="20" t="s">
        <v>46</v>
      </c>
      <c r="W90" s="13"/>
      <c r="X90" s="13"/>
    </row>
    <row r="91" spans="19:24" ht="17.25" thickBot="1" x14ac:dyDescent="0.35">
      <c r="S91" s="11"/>
      <c r="T91" s="11"/>
      <c r="U91" s="20" t="s">
        <v>47</v>
      </c>
      <c r="V91" s="20" t="s">
        <v>48</v>
      </c>
      <c r="W91" s="13"/>
      <c r="X91" s="13"/>
    </row>
    <row r="92" spans="19:24" ht="17.25" thickBot="1" x14ac:dyDescent="0.35">
      <c r="S92" s="11"/>
      <c r="T92" s="11"/>
      <c r="U92" s="21" t="s">
        <v>49</v>
      </c>
      <c r="V92" s="20" t="s">
        <v>55</v>
      </c>
      <c r="W92" s="13"/>
      <c r="X92" s="13"/>
    </row>
    <row r="93" spans="19:24" ht="17.25" thickBot="1" x14ac:dyDescent="0.35">
      <c r="S93" s="11"/>
      <c r="T93" s="14"/>
      <c r="U93" s="15"/>
      <c r="V93" s="15"/>
      <c r="W93" s="16"/>
      <c r="X93" s="13"/>
    </row>
    <row r="94" spans="19:24" ht="17.25" thickBot="1" x14ac:dyDescent="0.35">
      <c r="S94" s="11"/>
      <c r="T94" s="12"/>
      <c r="U94" s="12"/>
      <c r="V94" s="12"/>
      <c r="W94" s="12"/>
      <c r="X94" s="13"/>
    </row>
    <row r="95" spans="19:24" ht="17.25" thickBot="1" x14ac:dyDescent="0.35">
      <c r="S95" s="11"/>
      <c r="T95" s="8" t="s">
        <v>57</v>
      </c>
      <c r="U95" s="19"/>
      <c r="V95" s="9"/>
      <c r="W95" s="10"/>
      <c r="X95" s="13"/>
    </row>
    <row r="96" spans="19:24" ht="17.25" thickBot="1" x14ac:dyDescent="0.35">
      <c r="S96" s="11"/>
      <c r="T96" s="11"/>
      <c r="U96" s="20" t="s">
        <v>50</v>
      </c>
      <c r="V96" s="20" t="s">
        <v>51</v>
      </c>
      <c r="W96" s="13"/>
      <c r="X96" s="13"/>
    </row>
    <row r="97" spans="19:24" ht="17.25" thickBot="1" x14ac:dyDescent="0.35">
      <c r="S97" s="11"/>
      <c r="T97" s="11"/>
      <c r="U97" s="20" t="s">
        <v>52</v>
      </c>
      <c r="V97" s="20" t="s">
        <v>53</v>
      </c>
      <c r="W97" s="13"/>
      <c r="X97" s="13"/>
    </row>
    <row r="98" spans="19:24" ht="17.25" thickBot="1" x14ac:dyDescent="0.35">
      <c r="S98" s="11"/>
      <c r="T98" s="11"/>
      <c r="U98" s="21" t="s">
        <v>54</v>
      </c>
      <c r="V98" s="20" t="s">
        <v>56</v>
      </c>
      <c r="W98" s="13"/>
      <c r="X98" s="13"/>
    </row>
    <row r="99" spans="19:24" ht="17.25" thickBot="1" x14ac:dyDescent="0.35">
      <c r="S99" s="11"/>
      <c r="T99" s="14"/>
      <c r="U99" s="15"/>
      <c r="V99" s="15"/>
      <c r="W99" s="16"/>
      <c r="X99" s="13"/>
    </row>
    <row r="100" spans="19:24" ht="17.25" thickBot="1" x14ac:dyDescent="0.35">
      <c r="S100" s="14"/>
      <c r="T100" s="15"/>
      <c r="U100" s="15"/>
      <c r="V100" s="15"/>
      <c r="W100" s="15"/>
      <c r="X100" s="16"/>
    </row>
    <row r="101" spans="19:24" ht="17.25" thickBot="1" x14ac:dyDescent="0.35"/>
    <row r="102" spans="19:24" ht="17.25" thickBot="1" x14ac:dyDescent="0.35">
      <c r="S102" s="8" t="s">
        <v>73</v>
      </c>
      <c r="T102" s="9"/>
      <c r="U102" s="9"/>
      <c r="V102" s="9"/>
      <c r="W102" s="9"/>
      <c r="X102" s="10"/>
    </row>
    <row r="103" spans="19:24" ht="17.25" thickBot="1" x14ac:dyDescent="0.35">
      <c r="S103" s="11"/>
      <c r="T103" s="8" t="s">
        <v>37</v>
      </c>
      <c r="U103" s="9"/>
      <c r="V103" s="9"/>
      <c r="W103" s="10"/>
      <c r="X103" s="13"/>
    </row>
    <row r="104" spans="19:24" ht="17.25" thickBot="1" x14ac:dyDescent="0.35">
      <c r="S104" s="11"/>
      <c r="T104" s="11"/>
      <c r="U104" s="20" t="s">
        <v>39</v>
      </c>
      <c r="V104" s="20" t="s">
        <v>40</v>
      </c>
      <c r="W104" s="13"/>
      <c r="X104" s="13"/>
    </row>
    <row r="105" spans="19:24" ht="17.25" thickBot="1" x14ac:dyDescent="0.35">
      <c r="S105" s="11"/>
      <c r="T105" s="11"/>
      <c r="U105" s="20" t="s">
        <v>41</v>
      </c>
      <c r="V105" s="20" t="s">
        <v>42</v>
      </c>
      <c r="W105" s="13"/>
      <c r="X105" s="13"/>
    </row>
    <row r="106" spans="19:24" ht="17.25" thickBot="1" x14ac:dyDescent="0.35">
      <c r="S106" s="11"/>
      <c r="T106" s="11"/>
      <c r="U106" s="20" t="s">
        <v>43</v>
      </c>
      <c r="V106" s="21" t="s">
        <v>44</v>
      </c>
      <c r="W106" s="13"/>
      <c r="X106" s="13"/>
    </row>
    <row r="107" spans="19:24" ht="17.25" thickBot="1" x14ac:dyDescent="0.35">
      <c r="S107" s="11"/>
      <c r="T107" s="14"/>
      <c r="U107" s="15"/>
      <c r="V107" s="15"/>
      <c r="W107" s="16"/>
      <c r="X107" s="13"/>
    </row>
    <row r="108" spans="19:24" ht="17.25" thickBot="1" x14ac:dyDescent="0.35">
      <c r="S108" s="11"/>
      <c r="T108" s="12"/>
      <c r="U108" s="12"/>
      <c r="V108" s="12"/>
      <c r="W108" s="12"/>
      <c r="X108" s="13"/>
    </row>
    <row r="109" spans="19:24" ht="17.25" thickBot="1" x14ac:dyDescent="0.35">
      <c r="S109" s="11"/>
      <c r="T109" s="8" t="s">
        <v>38</v>
      </c>
      <c r="U109" s="9"/>
      <c r="V109" s="9"/>
      <c r="W109" s="10"/>
      <c r="X109" s="13"/>
    </row>
    <row r="110" spans="19:24" ht="17.25" thickBot="1" x14ac:dyDescent="0.35">
      <c r="S110" s="11"/>
      <c r="T110" s="11"/>
      <c r="U110" s="20" t="s">
        <v>45</v>
      </c>
      <c r="V110" s="20" t="s">
        <v>46</v>
      </c>
      <c r="W110" s="13"/>
      <c r="X110" s="13"/>
    </row>
    <row r="111" spans="19:24" ht="17.25" thickBot="1" x14ac:dyDescent="0.35">
      <c r="S111" s="11"/>
      <c r="T111" s="11"/>
      <c r="U111" s="20" t="s">
        <v>47</v>
      </c>
      <c r="V111" s="20" t="s">
        <v>48</v>
      </c>
      <c r="W111" s="13"/>
      <c r="X111" s="13"/>
    </row>
    <row r="112" spans="19:24" ht="17.25" thickBot="1" x14ac:dyDescent="0.35">
      <c r="S112" s="11"/>
      <c r="T112" s="11"/>
      <c r="U112" s="20" t="s">
        <v>49</v>
      </c>
      <c r="V112" s="21" t="s">
        <v>55</v>
      </c>
      <c r="W112" s="13"/>
      <c r="X112" s="13"/>
    </row>
    <row r="113" spans="19:24" ht="17.25" thickBot="1" x14ac:dyDescent="0.35">
      <c r="S113" s="11"/>
      <c r="T113" s="14"/>
      <c r="U113" s="15"/>
      <c r="V113" s="15"/>
      <c r="W113" s="16"/>
      <c r="X113" s="13"/>
    </row>
    <row r="114" spans="19:24" ht="17.25" thickBot="1" x14ac:dyDescent="0.35">
      <c r="S114" s="11"/>
      <c r="T114" s="12"/>
      <c r="U114" s="12"/>
      <c r="V114" s="12"/>
      <c r="W114" s="12"/>
      <c r="X114" s="13"/>
    </row>
    <row r="115" spans="19:24" ht="17.25" thickBot="1" x14ac:dyDescent="0.35">
      <c r="S115" s="11"/>
      <c r="T115" s="8" t="s">
        <v>57</v>
      </c>
      <c r="U115" s="19"/>
      <c r="V115" s="9"/>
      <c r="W115" s="10"/>
      <c r="X115" s="13"/>
    </row>
    <row r="116" spans="19:24" ht="17.25" thickBot="1" x14ac:dyDescent="0.35">
      <c r="S116" s="11"/>
      <c r="T116" s="11"/>
      <c r="U116" s="20" t="s">
        <v>50</v>
      </c>
      <c r="V116" s="20" t="s">
        <v>51</v>
      </c>
      <c r="W116" s="13"/>
      <c r="X116" s="13"/>
    </row>
    <row r="117" spans="19:24" ht="17.25" thickBot="1" x14ac:dyDescent="0.35">
      <c r="S117" s="11"/>
      <c r="T117" s="11"/>
      <c r="U117" s="20" t="s">
        <v>52</v>
      </c>
      <c r="V117" s="20" t="s">
        <v>53</v>
      </c>
      <c r="W117" s="13"/>
      <c r="X117" s="13"/>
    </row>
    <row r="118" spans="19:24" ht="17.25" thickBot="1" x14ac:dyDescent="0.35">
      <c r="S118" s="11"/>
      <c r="T118" s="11"/>
      <c r="U118" s="20" t="s">
        <v>54</v>
      </c>
      <c r="V118" s="21" t="s">
        <v>56</v>
      </c>
      <c r="W118" s="13"/>
      <c r="X118" s="13"/>
    </row>
    <row r="119" spans="19:24" ht="17.25" thickBot="1" x14ac:dyDescent="0.35">
      <c r="S119" s="11"/>
      <c r="T119" s="14"/>
      <c r="U119" s="15"/>
      <c r="V119" s="15"/>
      <c r="W119" s="16"/>
      <c r="X119" s="13"/>
    </row>
    <row r="120" spans="19:24" ht="17.25" thickBot="1" x14ac:dyDescent="0.35">
      <c r="S120" s="14"/>
      <c r="T120" s="15"/>
      <c r="U120" s="15"/>
      <c r="V120" s="15"/>
      <c r="W120" s="15"/>
      <c r="X120" s="16"/>
    </row>
  </sheetData>
  <mergeCells count="6">
    <mergeCell ref="L18:M19"/>
    <mergeCell ref="L3:M4"/>
    <mergeCell ref="L6:M7"/>
    <mergeCell ref="L9:M10"/>
    <mergeCell ref="L12:M13"/>
    <mergeCell ref="L15:M1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Working_List</vt:lpstr>
      <vt:lpstr>일정</vt:lpstr>
      <vt:lpstr>구성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LGCNS</dc:creator>
  <cp:lastModifiedBy>최훈탁 책임 Architect DevOps아키텍처팀 (hoontaky@lgcns.com, )</cp:lastModifiedBy>
  <dcterms:created xsi:type="dcterms:W3CDTF">2026-03-30T08:20:49Z</dcterms:created>
  <dcterms:modified xsi:type="dcterms:W3CDTF">2026-04-02T05:37:27Z</dcterms:modified>
</cp:coreProperties>
</file>